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/>
  <mc:AlternateContent xmlns:mc="http://schemas.openxmlformats.org/markup-compatibility/2006">
    <mc:Choice Requires="x15">
      <x15ac:absPath xmlns:x15ac="http://schemas.microsoft.com/office/spreadsheetml/2010/11/ac" url="D:\DeepL\2025\Conferences\ULTRASONICS2025\Project\NewDocs\"/>
    </mc:Choice>
  </mc:AlternateContent>
  <xr:revisionPtr revIDLastSave="0" documentId="13_ncr:9_{9A87C2CA-7622-4C14-A079-02B0AEC1BA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DGET TABLE" sheetId="1" r:id="rId1"/>
  </sheets>
  <calcPr calcId="18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H47" i="1" l="1"/>
  <c r="F21" i="1"/>
  <c r="F22" i="1" s="1"/>
  <c r="L47" i="1"/>
  <c r="F47" i="1"/>
  <c r="N42" i="1"/>
  <c r="N39" i="1"/>
  <c r="N44" i="1"/>
  <c r="N40" i="1"/>
  <c r="N41" i="1"/>
  <c r="N43" i="1"/>
  <c r="N38" i="1"/>
  <c r="J42" i="1"/>
  <c r="L41" i="1"/>
  <c r="K40" i="1"/>
  <c r="J40" i="1"/>
  <c r="I40" i="1"/>
  <c r="L39" i="1"/>
  <c r="J39" i="1"/>
  <c r="I39" i="1"/>
  <c r="M38" i="1"/>
  <c r="M47" i="1" s="1"/>
  <c r="L38" i="1"/>
  <c r="K38" i="1"/>
  <c r="G47" i="1"/>
  <c r="E47" i="1"/>
  <c r="D47" i="1"/>
  <c r="C47" i="1"/>
  <c r="J43" i="1"/>
  <c r="H43" i="1"/>
  <c r="H42" i="1"/>
  <c r="H41" i="1"/>
  <c r="H40" i="1"/>
  <c r="H39" i="1"/>
  <c r="K47" i="1"/>
  <c r="J38" i="1"/>
  <c r="I38" i="1"/>
  <c r="H38" i="1"/>
  <c r="J47" i="1" l="1"/>
  <c r="N47" i="1"/>
  <c r="I47" i="1"/>
  <c r="G63" i="1" l="1"/>
  <c r="H63" i="1"/>
  <c r="I63" i="1"/>
  <c r="J63" i="1"/>
  <c r="F63" i="1"/>
  <c r="G21" i="1" l="1"/>
  <c r="G22" i="1" s="1"/>
  <c r="H21" i="1"/>
  <c r="H22" i="1" s="1"/>
  <c r="I21" i="1"/>
  <c r="I22" i="1" s="1"/>
  <c r="J17" i="1"/>
  <c r="E21" i="1"/>
  <c r="E22" i="1" s="1"/>
  <c r="J8" i="1"/>
  <c r="J6" i="1"/>
  <c r="J9" i="1"/>
  <c r="J7" i="1"/>
  <c r="J15" i="1"/>
  <c r="J5" i="1"/>
  <c r="J4" i="1"/>
  <c r="J20" i="1"/>
  <c r="J13" i="1"/>
  <c r="J10" i="1"/>
  <c r="J21" i="1" l="1"/>
  <c r="J22" i="1"/>
</calcChain>
</file>

<file path=xl/sharedStrings.xml><?xml version="1.0" encoding="utf-8"?>
<sst xmlns="http://purl.oclc.org/ooxml/spreadsheetml/main" count="151" uniqueCount="103">
  <si>
    <t>ESTIMATED COSTS PER WP</t>
  </si>
  <si>
    <t>WP1</t>
  </si>
  <si>
    <t>WP2</t>
  </si>
  <si>
    <t>WP3</t>
  </si>
  <si>
    <t>WP4</t>
  </si>
  <si>
    <t>WP5</t>
  </si>
  <si>
    <t>TOTAL</t>
  </si>
  <si>
    <t>PERSON-MONTHS</t>
  </si>
  <si>
    <t>PERSONNEL COSTS (gross amount)</t>
  </si>
  <si>
    <t>SME owner/natural person directly not receiving a salary</t>
  </si>
  <si>
    <t>TOTAL BUDGET</t>
  </si>
  <si>
    <t>PERSONMONTHS</t>
  </si>
  <si>
    <t>Please describe</t>
  </si>
  <si>
    <t>Based on Actual Costs</t>
  </si>
  <si>
    <t xml:space="preserve">Based on Unit Costs </t>
  </si>
  <si>
    <t>Please fill in only the yellow cells</t>
  </si>
  <si>
    <t xml:space="preserve">Personnel costs </t>
  </si>
  <si>
    <t>Subcontracting costs</t>
  </si>
  <si>
    <t>Purchase costs</t>
  </si>
  <si>
    <t xml:space="preserve">Travel &amp; Subsistence </t>
  </si>
  <si>
    <t xml:space="preserve">Other goods, works and services </t>
  </si>
  <si>
    <t>Equipment (depreciation cost only)</t>
  </si>
  <si>
    <t>Internally invoiced goods and services</t>
  </si>
  <si>
    <t>Indirect Costs (flat rate - 25% on total direct costs excluding subcontracting, internally invoiced goods and services)</t>
  </si>
  <si>
    <t>Dissemination, outreach and exploitation </t>
  </si>
  <si>
    <t>Project Management </t>
  </si>
  <si>
    <t xml:space="preserve">Foundation and  Implementation </t>
  </si>
  <si>
    <t xml:space="preserve">Expansion and  Global Impact </t>
  </si>
  <si>
    <t>Scientific Research</t>
  </si>
  <si>
    <t>Attending to project meetings/dissemination events</t>
  </si>
  <si>
    <t>Attending training events</t>
  </si>
  <si>
    <t>Organisation of training/networking events</t>
  </si>
  <si>
    <t>consumables for training events and research</t>
  </si>
  <si>
    <t>Person Months</t>
  </si>
  <si>
    <t>Personnel Cost</t>
  </si>
  <si>
    <t>Total</t>
  </si>
  <si>
    <t>Total  PM</t>
  </si>
  <si>
    <t>Total Cost</t>
  </si>
  <si>
    <t>NOVA</t>
  </si>
  <si>
    <t>web boot camps</t>
  </si>
  <si>
    <t>Dr. Vida Adquisition</t>
  </si>
  <si>
    <t>International conferences</t>
  </si>
  <si>
    <t>A. A. boot camps</t>
  </si>
  <si>
    <t>Project meetings</t>
  </si>
  <si>
    <t>total</t>
  </si>
  <si>
    <t>team travelers</t>
  </si>
  <si>
    <t xml:space="preserve">goes to </t>
  </si>
  <si>
    <t>Cost unit (3 days)</t>
  </si>
  <si>
    <t>José Luís Capelo Martinez</t>
  </si>
  <si>
    <t>Carlos Lodeiro</t>
  </si>
  <si>
    <t>Hugo Miguel Baptista Carreira dos Santos</t>
  </si>
  <si>
    <t>Javier Fernandez</t>
  </si>
  <si>
    <t>Elisabete de Jesus Oliveira Marques</t>
  </si>
  <si>
    <t>Alice Pereira</t>
  </si>
  <si>
    <t>22955,675 (30%)</t>
  </si>
  <si>
    <t>15318,45 (20%)</t>
  </si>
  <si>
    <t>12760,3 (16,6%)</t>
  </si>
  <si>
    <t>11263,6 (50%)</t>
  </si>
  <si>
    <t>8326,81 (33%)</t>
  </si>
  <si>
    <t>12490,213 (50%)</t>
  </si>
  <si>
    <t>7763,96 (50%)</t>
  </si>
  <si>
    <t>6601,7 (33%)</t>
  </si>
  <si>
    <t>3 travelers*2000*5 years =30 000</t>
  </si>
  <si>
    <t>researcher/project manager?</t>
  </si>
  <si>
    <t>Expansion and  Global Impact training activities</t>
  </si>
  <si>
    <t>Foundation and  Implementation training activitis</t>
  </si>
  <si>
    <t>organizing events by partners outside consortium</t>
  </si>
  <si>
    <t>Scientific Research not add training</t>
  </si>
  <si>
    <t>Dissemination, outreach and exploitation attending dissemnination events</t>
  </si>
  <si>
    <t>Project Management training activitiesp attedning projects meetings</t>
  </si>
  <si>
    <t>11263,6/2 (50%)</t>
  </si>
  <si>
    <t>Auxiliary researcher Hugo Miguel Baptista Carreira dos Santos</t>
  </si>
  <si>
    <t>Auxiliary Researcher Javier Fernandez</t>
  </si>
  <si>
    <t>Auxiliary professor Elisabete de Jesus Oliveira Marques</t>
  </si>
  <si>
    <t>Assocaite professor Alice Pereira</t>
  </si>
  <si>
    <t>Researcher /Project manager</t>
  </si>
  <si>
    <t>Participant No.</t>
  </si>
  <si>
    <t>Participant organisation name</t>
  </si>
  <si>
    <t>Country</t>
  </si>
  <si>
    <t>(Coordinator)</t>
  </si>
  <si>
    <r>
      <t>NOVA UNIVERSITY OF LISBON-</t>
    </r>
    <r>
      <rPr>
        <b/>
        <sz val="10"/>
        <color rgb="FF000000"/>
        <rFont val="Times New Roman"/>
        <family val="1"/>
      </rPr>
      <t>NOVA</t>
    </r>
  </si>
  <si>
    <t>PORTUGAL</t>
  </si>
  <si>
    <r>
      <t>ALMA MATER STUDIORUM - UNIVERSITY OF BOLOGNA-</t>
    </r>
    <r>
      <rPr>
        <b/>
        <sz val="10"/>
        <color rgb="FF000000"/>
        <rFont val="Times New Roman"/>
        <family val="1"/>
      </rPr>
      <t>UNIBO</t>
    </r>
  </si>
  <si>
    <t>ITALY</t>
  </si>
  <si>
    <r>
      <t>THE HEBREW UNIVERSITY OF JERUSALEM-</t>
    </r>
    <r>
      <rPr>
        <b/>
        <sz val="10"/>
        <color rgb="FF000000"/>
        <rFont val="Times New Roman"/>
        <family val="1"/>
      </rPr>
      <t>HUJI</t>
    </r>
  </si>
  <si>
    <t>ISRAEL</t>
  </si>
  <si>
    <t>STAB VIDA INVESTIGAÇÃO E SERVICOS EM</t>
  </si>
  <si>
    <r>
      <t>CIENCIAS BIOLOGICAS LDA-</t>
    </r>
    <r>
      <rPr>
        <b/>
        <sz val="10"/>
        <color rgb="FF000000"/>
        <rFont val="Times New Roman"/>
        <family val="1"/>
      </rPr>
      <t>STABV</t>
    </r>
  </si>
  <si>
    <r>
      <t>NATIONAL AND KAPODISTRIAN UNIVERSITY OF ATHENS-</t>
    </r>
    <r>
      <rPr>
        <b/>
        <sz val="10"/>
        <color rgb="FF000000"/>
        <rFont val="Times New Roman"/>
        <family val="1"/>
      </rPr>
      <t>UOA</t>
    </r>
  </si>
  <si>
    <t>GREECE</t>
  </si>
  <si>
    <r>
      <t>EXELIXIS RESEARCH MANAGEMENT AND COMMUNICATION-</t>
    </r>
    <r>
      <rPr>
        <b/>
        <sz val="10"/>
        <color rgb="FF000000"/>
        <rFont val="Times New Roman"/>
        <family val="1"/>
      </rPr>
      <t>EXEL</t>
    </r>
  </si>
  <si>
    <r>
      <t>UNIVERSITY OF CAMPINAS-</t>
    </r>
    <r>
      <rPr>
        <b/>
        <sz val="10"/>
        <color rgb="FF000000"/>
        <rFont val="Times New Roman"/>
        <family val="1"/>
      </rPr>
      <t>UNICAMP</t>
    </r>
  </si>
  <si>
    <t>BRASIL</t>
  </si>
  <si>
    <r>
      <t>YAGHMA-</t>
    </r>
    <r>
      <rPr>
        <b/>
        <sz val="10"/>
        <color rgb="FF000000"/>
        <rFont val="Times New Roman"/>
        <family val="1"/>
      </rPr>
      <t>YAGHMA</t>
    </r>
  </si>
  <si>
    <t>THE NETHERLANDS</t>
  </si>
  <si>
    <r>
      <t>UNIVERSITY OF PERNAMBUCO-</t>
    </r>
    <r>
      <rPr>
        <b/>
        <sz val="10"/>
        <color rgb="FF000000"/>
        <rFont val="Times New Roman"/>
        <family val="1"/>
      </rPr>
      <t>UPE</t>
    </r>
  </si>
  <si>
    <r>
      <t>TARAS SHEVCHENKO NATIONAL UNIVERSITY OF KYIVNU-</t>
    </r>
    <r>
      <rPr>
        <b/>
        <sz val="11"/>
        <color rgb="FF000000"/>
        <rFont val="Times New Roman"/>
        <family val="1"/>
      </rPr>
      <t>TSNUK</t>
    </r>
  </si>
  <si>
    <t>UKRAINE</t>
  </si>
  <si>
    <r>
      <t>UNIVERSITY OF HUELVA-</t>
    </r>
    <r>
      <rPr>
        <b/>
        <sz val="10"/>
        <color rgb="FF000000"/>
        <rFont val="Times New Roman"/>
        <family val="1"/>
      </rPr>
      <t>UHU</t>
    </r>
  </si>
  <si>
    <t>SPAIN</t>
  </si>
  <si>
    <t>TSNUK</t>
  </si>
  <si>
    <t xml:space="preserve">PI (Professor Oleh Olikh) </t>
  </si>
  <si>
    <t>Professor Serhiy Kondratenko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</si>
</sst>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\ &quot;€&quot;_-;\-* #,##0.00\ &quot;€&quot;_-;_-* &quot;-&quot;??\ &quot;€&quot;_-;_-@_-"/>
    <numFmt numFmtId="166" formatCode="#,##0.00\ &quot;€&quot;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indexed="9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2"/>
      <scheme val="maj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thin">
        <color rgb="FFA5A5A5"/>
      </start>
      <end style="thin">
        <color rgb="FFA5A5A5"/>
      </end>
      <top style="thin">
        <color rgb="FFA5A5A5"/>
      </top>
      <bottom style="thin">
        <color rgb="FFA5A5A5"/>
      </bottom>
      <diagonal/>
    </border>
    <border>
      <start style="thin">
        <color rgb="FFA5A5A5"/>
      </start>
      <end style="thin">
        <color rgb="FFA5A5A5"/>
      </end>
      <top/>
      <bottom style="thin">
        <color rgb="FFA5A5A5"/>
      </bottom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1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05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4" fillId="4" borderId="2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3" fontId="6" fillId="5" borderId="5" xfId="2" applyNumberFormat="1" applyFont="1" applyFill="1" applyBorder="1" applyAlignment="1">
      <alignment horizontal="center" vertical="center" wrapText="1"/>
    </xf>
    <xf numFmtId="3" fontId="7" fillId="6" borderId="6" xfId="2" applyNumberFormat="1" applyFont="1" applyFill="1" applyBorder="1" applyAlignment="1">
      <alignment horizontal="center" vertical="center" wrapText="1"/>
    </xf>
    <xf numFmtId="4" fontId="8" fillId="6" borderId="1" xfId="2" applyNumberFormat="1" applyFont="1" applyFill="1" applyBorder="1" applyAlignment="1">
      <alignment horizontal="center" vertical="center" wrapText="1"/>
    </xf>
    <xf numFmtId="3" fontId="6" fillId="5" borderId="8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3" fontId="7" fillId="6" borderId="8" xfId="2" applyNumberFormat="1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vertical="center" wrapText="1"/>
    </xf>
    <xf numFmtId="166" fontId="5" fillId="5" borderId="6" xfId="2" applyNumberFormat="1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vertical="center" wrapText="1"/>
    </xf>
    <xf numFmtId="0" fontId="5" fillId="5" borderId="7" xfId="2" applyFont="1" applyFill="1" applyBorder="1" applyAlignment="1">
      <alignment vertical="center" wrapText="1"/>
    </xf>
    <xf numFmtId="0" fontId="5" fillId="5" borderId="5" xfId="2" applyFont="1" applyFill="1" applyBorder="1" applyAlignment="1">
      <alignment vertical="center" wrapText="1"/>
    </xf>
    <xf numFmtId="166" fontId="5" fillId="5" borderId="5" xfId="2" applyNumberFormat="1" applyFont="1" applyFill="1" applyBorder="1" applyAlignment="1">
      <alignment horizontal="center" vertical="center" wrapText="1"/>
    </xf>
    <xf numFmtId="166" fontId="5" fillId="5" borderId="7" xfId="2" applyNumberFormat="1" applyFont="1" applyFill="1" applyBorder="1" applyAlignment="1">
      <alignment horizontal="center" vertical="center" wrapText="1"/>
    </xf>
    <xf numFmtId="166" fontId="5" fillId="5" borderId="8" xfId="2" applyNumberFormat="1" applyFont="1" applyFill="1" applyBorder="1" applyAlignment="1">
      <alignment horizontal="center" vertical="center" wrapText="1"/>
    </xf>
    <xf numFmtId="4" fontId="8" fillId="6" borderId="10" xfId="2" applyNumberFormat="1" applyFont="1" applyFill="1" applyBorder="1" applyAlignment="1">
      <alignment horizontal="center" vertical="center" wrapText="1"/>
    </xf>
    <xf numFmtId="4" fontId="9" fillId="3" borderId="11" xfId="2" applyNumberFormat="1" applyFont="1" applyFill="1" applyBorder="1" applyAlignment="1">
      <alignment horizontal="center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vertical="center" wrapText="1"/>
    </xf>
    <xf numFmtId="166" fontId="5" fillId="5" borderId="2" xfId="2" applyNumberFormat="1" applyFont="1" applyFill="1" applyBorder="1" applyAlignment="1">
      <alignment horizontal="center" vertical="center" wrapText="1"/>
    </xf>
    <xf numFmtId="0" fontId="5" fillId="5" borderId="9" xfId="2" applyFont="1" applyFill="1" applyBorder="1" applyAlignment="1">
      <alignment vertical="center" wrapText="1"/>
    </xf>
    <xf numFmtId="0" fontId="5" fillId="5" borderId="10" xfId="2" applyFont="1" applyFill="1" applyBorder="1" applyAlignment="1">
      <alignment vertical="center" wrapText="1"/>
    </xf>
    <xf numFmtId="3" fontId="6" fillId="5" borderId="20" xfId="2" applyNumberFormat="1" applyFont="1" applyFill="1" applyBorder="1" applyAlignment="1">
      <alignment horizontal="center" vertical="center" wrapText="1"/>
    </xf>
    <xf numFmtId="3" fontId="6" fillId="5" borderId="10" xfId="2" applyNumberFormat="1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vertical="center" wrapText="1"/>
    </xf>
    <xf numFmtId="0" fontId="5" fillId="4" borderId="26" xfId="2" applyFont="1" applyFill="1" applyBorder="1" applyAlignment="1">
      <alignment vertical="center" wrapText="1"/>
    </xf>
    <xf numFmtId="166" fontId="5" fillId="5" borderId="23" xfId="2" applyNumberFormat="1" applyFont="1" applyFill="1" applyBorder="1" applyAlignment="1">
      <alignment horizontal="center" vertical="center" wrapText="1"/>
    </xf>
    <xf numFmtId="166" fontId="5" fillId="6" borderId="8" xfId="2" applyNumberFormat="1" applyFont="1" applyFill="1" applyBorder="1" applyAlignment="1">
      <alignment vertical="center" wrapText="1"/>
    </xf>
    <xf numFmtId="166" fontId="8" fillId="6" borderId="6" xfId="2" applyNumberFormat="1" applyFont="1" applyFill="1" applyBorder="1" applyAlignment="1">
      <alignment vertical="center" wrapText="1"/>
    </xf>
    <xf numFmtId="49" fontId="4" fillId="4" borderId="3" xfId="2" applyNumberFormat="1" applyFont="1" applyFill="1" applyBorder="1" applyAlignment="1">
      <alignment horizontal="center" vertical="center" wrapText="1"/>
    </xf>
    <xf numFmtId="0" fontId="0" fillId="5" borderId="0" xfId="0" applyFill="1"/>
    <xf numFmtId="0" fontId="14" fillId="0" borderId="0" xfId="0" applyFont="1"/>
    <xf numFmtId="0" fontId="16" fillId="0" borderId="0" xfId="0" applyFont="1"/>
    <xf numFmtId="3" fontId="0" fillId="0" borderId="0" xfId="0" applyNumberFormat="1"/>
    <xf numFmtId="1" fontId="0" fillId="0" borderId="0" xfId="0" applyNumberFormat="1"/>
    <xf numFmtId="166" fontId="17" fillId="8" borderId="39" xfId="0" applyNumberFormat="1" applyFont="1" applyFill="1" applyBorder="1"/>
    <xf numFmtId="166" fontId="17" fillId="9" borderId="39" xfId="0" applyNumberFormat="1" applyFont="1" applyFill="1" applyBorder="1"/>
    <xf numFmtId="0" fontId="17" fillId="7" borderId="38" xfId="0" applyFont="1" applyFill="1" applyBorder="1" applyAlignment="1" applyProtection="1">
      <alignment horizontal="center" wrapText="1"/>
      <protection locked="0"/>
    </xf>
    <xf numFmtId="10" fontId="17" fillId="7" borderId="38" xfId="4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2" fontId="0" fillId="10" borderId="6" xfId="3" applyNumberFormat="1" applyFont="1" applyFill="1" applyBorder="1" applyAlignment="1" applyProtection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49" fontId="4" fillId="5" borderId="2" xfId="2" applyNumberFormat="1" applyFont="1" applyFill="1" applyBorder="1" applyAlignment="1">
      <alignment horizontal="center" vertical="center" wrapText="1"/>
    </xf>
    <xf numFmtId="49" fontId="4" fillId="5" borderId="3" xfId="2" applyNumberFormat="1" applyFont="1" applyFill="1" applyBorder="1" applyAlignment="1">
      <alignment horizontal="center" vertical="center" wrapText="1"/>
    </xf>
    <xf numFmtId="0" fontId="18" fillId="5" borderId="0" xfId="0" applyFont="1" applyFill="1"/>
    <xf numFmtId="0" fontId="14" fillId="5" borderId="0" xfId="0" applyFont="1" applyFill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0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0" fillId="5" borderId="36" xfId="0" applyFill="1" applyBorder="1" applyAlignment="1">
      <alignment horizontal="center"/>
    </xf>
    <xf numFmtId="0" fontId="20" fillId="0" borderId="0" xfId="0" applyFont="1"/>
    <xf numFmtId="0" fontId="19" fillId="0" borderId="0" xfId="0" applyFont="1"/>
    <xf numFmtId="0" fontId="0" fillId="0" borderId="36" xfId="0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1" fillId="3" borderId="15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12" fillId="6" borderId="13" xfId="2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4" fontId="8" fillId="6" borderId="21" xfId="2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3" borderId="16" xfId="2" applyFont="1" applyFill="1" applyBorder="1" applyAlignment="1">
      <alignment horizontal="right" vertical="center" wrapText="1"/>
    </xf>
    <xf numFmtId="0" fontId="11" fillId="3" borderId="17" xfId="2" applyFont="1" applyFill="1" applyBorder="1" applyAlignment="1">
      <alignment horizontal="right" vertical="center" wrapText="1"/>
    </xf>
    <xf numFmtId="0" fontId="11" fillId="3" borderId="11" xfId="2" applyFont="1" applyFill="1" applyBorder="1" applyAlignment="1">
      <alignment horizontal="right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 vertical="center" wrapText="1"/>
    </xf>
    <xf numFmtId="0" fontId="3" fillId="2" borderId="23" xfId="2" applyFont="1" applyFill="1" applyBorder="1" applyAlignment="1">
      <alignment horizontal="left" vertical="center" wrapText="1"/>
    </xf>
    <xf numFmtId="0" fontId="3" fillId="2" borderId="36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center" vertical="center" wrapText="1"/>
    </xf>
    <xf numFmtId="4" fontId="8" fillId="6" borderId="2" xfId="2" applyNumberFormat="1" applyFont="1" applyFill="1" applyBorder="1" applyAlignment="1">
      <alignment horizontal="center" vertical="center" wrapText="1"/>
    </xf>
    <xf numFmtId="0" fontId="3" fillId="2" borderId="19" xfId="2" applyFont="1" applyFill="1" applyBorder="1" applyAlignment="1">
      <alignment horizontal="center" vertical="center" wrapText="1"/>
    </xf>
    <xf numFmtId="0" fontId="3" fillId="2" borderId="18" xfId="2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center" vertical="center" wrapText="1"/>
    </xf>
    <xf numFmtId="0" fontId="3" fillId="2" borderId="27" xfId="2" applyFont="1" applyFill="1" applyBorder="1" applyAlignment="1">
      <alignment horizontal="center" vertical="center" wrapText="1"/>
    </xf>
    <xf numFmtId="0" fontId="3" fillId="2" borderId="28" xfId="2" applyFont="1" applyFill="1" applyBorder="1" applyAlignment="1">
      <alignment horizontal="center" vertical="center" wrapText="1"/>
    </xf>
    <xf numFmtId="0" fontId="3" fillId="2" borderId="29" xfId="2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center" vertical="center" wrapText="1"/>
    </xf>
    <xf numFmtId="4" fontId="8" fillId="6" borderId="3" xfId="2" applyNumberFormat="1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2" borderId="4" xfId="2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5" fillId="4" borderId="40" xfId="2" applyFont="1" applyFill="1" applyBorder="1" applyAlignment="1">
      <alignment vertical="center" wrapText="1"/>
    </xf>
    <xf numFmtId="0" fontId="0" fillId="5" borderId="6" xfId="0" applyFill="1" applyBorder="1"/>
  </cellXfs>
  <cellStyles count="5">
    <cellStyle name="Euro" xfId="1" xr:uid="{00000000-0005-0000-0000-000000000000}"/>
    <cellStyle name="Normal 2" xfId="2" xr:uid="{00000000-0005-0000-0000-000002000000}"/>
    <cellStyle name="Відсотковий" xfId="4" builtinId="5"/>
    <cellStyle name="Грошовий" xfId="3" builtinId="4"/>
    <cellStyle name="Звичайний" xfId="0" builtinId="0"/>
  </cellStyles>
  <dxfs count="2">
    <dxf>
      <font>
        <color theme="0"/>
      </font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66"/>
  <sheetViews>
    <sheetView tabSelected="1" zoomScale="68" zoomScaleNormal="68" workbookViewId="0">
      <selection activeCell="E14" sqref="E14"/>
    </sheetView>
  </sheetViews>
  <sheetFormatPr defaultColWidth="8.77734375" defaultRowHeight="14.4" x14ac:dyDescent="0.3"/>
  <cols>
    <col min="2" max="2" width="35" customWidth="1"/>
    <col min="3" max="3" width="19.6640625" customWidth="1"/>
    <col min="4" max="4" width="35.88671875" customWidth="1"/>
    <col min="5" max="5" width="25.77734375" customWidth="1"/>
    <col min="6" max="7" width="15.6640625" customWidth="1"/>
    <col min="8" max="8" width="14.44140625" customWidth="1"/>
    <col min="9" max="9" width="16.33203125" customWidth="1"/>
    <col min="10" max="10" width="27.44140625" customWidth="1"/>
    <col min="11" max="11" width="12.109375" bestFit="1" customWidth="1"/>
    <col min="12" max="12" width="49.77734375" customWidth="1"/>
    <col min="13" max="13" width="49.44140625" customWidth="1"/>
    <col min="14" max="14" width="20" customWidth="1"/>
  </cols>
  <sheetData>
    <row r="1" spans="2:25" ht="24.45" customHeight="1" thickBot="1" x14ac:dyDescent="0.55000000000000004">
      <c r="B1" s="66" t="s">
        <v>15</v>
      </c>
      <c r="C1" s="67"/>
      <c r="D1" s="68"/>
      <c r="E1" s="63" t="s">
        <v>0</v>
      </c>
      <c r="F1" s="64"/>
      <c r="G1" s="64"/>
      <c r="H1" s="64"/>
      <c r="I1" s="64"/>
      <c r="J1" s="65"/>
      <c r="N1" s="58"/>
      <c r="O1" s="58"/>
      <c r="P1" s="58"/>
      <c r="Q1" s="58"/>
      <c r="R1" s="58"/>
      <c r="T1" s="58"/>
      <c r="U1" s="58"/>
      <c r="V1" s="58"/>
      <c r="W1" s="58"/>
      <c r="X1" s="58"/>
    </row>
    <row r="2" spans="2:25" x14ac:dyDescent="0.3">
      <c r="B2" s="59" t="s">
        <v>100</v>
      </c>
      <c r="C2" s="59"/>
      <c r="D2" s="60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N2" s="1"/>
      <c r="O2" s="1"/>
      <c r="P2" s="1"/>
      <c r="Q2" s="1"/>
      <c r="R2" s="1"/>
      <c r="T2" s="1"/>
      <c r="U2" s="1"/>
      <c r="V2" s="1"/>
      <c r="W2" s="1"/>
      <c r="X2" s="1"/>
      <c r="Y2" s="3"/>
    </row>
    <row r="3" spans="2:25" ht="49.95" customHeight="1" thickBot="1" x14ac:dyDescent="0.35">
      <c r="B3" s="61"/>
      <c r="C3" s="61"/>
      <c r="D3" s="62"/>
      <c r="E3" s="2" t="s">
        <v>65</v>
      </c>
      <c r="F3" s="2" t="s">
        <v>64</v>
      </c>
      <c r="G3" s="2" t="s">
        <v>67</v>
      </c>
      <c r="H3" s="2" t="s">
        <v>68</v>
      </c>
      <c r="I3" s="2" t="s">
        <v>69</v>
      </c>
      <c r="J3" s="3"/>
      <c r="N3" s="2"/>
      <c r="O3" s="2"/>
      <c r="P3" s="2"/>
      <c r="Q3" s="2"/>
      <c r="R3" s="2"/>
      <c r="S3" s="32"/>
      <c r="T3" s="2"/>
      <c r="U3" s="2"/>
      <c r="V3" s="2"/>
      <c r="W3" s="2"/>
      <c r="X3" s="2"/>
      <c r="Y3" s="32"/>
    </row>
    <row r="4" spans="2:25" ht="19.95" customHeight="1" x14ac:dyDescent="0.3">
      <c r="B4" s="85" t="s">
        <v>16</v>
      </c>
      <c r="C4" s="79" t="s">
        <v>13</v>
      </c>
      <c r="D4" s="27" t="s">
        <v>11</v>
      </c>
      <c r="E4" s="25">
        <v>9</v>
      </c>
      <c r="F4" s="4">
        <v>10</v>
      </c>
      <c r="G4" s="4">
        <v>10</v>
      </c>
      <c r="H4" s="4">
        <v>4</v>
      </c>
      <c r="I4" s="4">
        <v>40</v>
      </c>
      <c r="J4" s="5">
        <f t="shared" ref="J4:J9" si="0">SUM(E4:I4)</f>
        <v>73</v>
      </c>
    </row>
    <row r="5" spans="2:25" ht="19.95" customHeight="1" thickBot="1" x14ac:dyDescent="0.35">
      <c r="B5" s="86"/>
      <c r="C5" s="80"/>
      <c r="D5" s="103" t="s">
        <v>8</v>
      </c>
      <c r="E5" s="104">
        <v>45000</v>
      </c>
      <c r="F5" s="104">
        <v>61000</v>
      </c>
      <c r="G5" s="104">
        <v>30000</v>
      </c>
      <c r="H5" s="104">
        <v>24000</v>
      </c>
      <c r="I5" s="104">
        <v>190000</v>
      </c>
      <c r="J5" s="6">
        <f t="shared" si="0"/>
        <v>350000</v>
      </c>
    </row>
    <row r="6" spans="2:25" ht="19.95" customHeight="1" x14ac:dyDescent="0.3">
      <c r="B6" s="86"/>
      <c r="C6" s="82" t="s">
        <v>14</v>
      </c>
      <c r="D6" s="27" t="s">
        <v>11</v>
      </c>
      <c r="E6" s="26"/>
      <c r="F6" s="7"/>
      <c r="G6" s="7"/>
      <c r="H6" s="7"/>
      <c r="I6" s="7"/>
      <c r="J6" s="5">
        <f t="shared" si="0"/>
        <v>0</v>
      </c>
    </row>
    <row r="7" spans="2:25" ht="19.95" customHeight="1" thickBot="1" x14ac:dyDescent="0.35">
      <c r="B7" s="86"/>
      <c r="C7" s="80"/>
      <c r="D7" s="28" t="s">
        <v>8</v>
      </c>
      <c r="E7" s="29"/>
      <c r="F7" s="16"/>
      <c r="G7" s="16"/>
      <c r="H7" s="16"/>
      <c r="I7" s="16"/>
      <c r="J7" s="8">
        <f t="shared" si="0"/>
        <v>0</v>
      </c>
    </row>
    <row r="8" spans="2:25" ht="19.95" customHeight="1" x14ac:dyDescent="0.3">
      <c r="B8" s="86"/>
      <c r="C8" s="82" t="s">
        <v>9</v>
      </c>
      <c r="D8" s="27" t="s">
        <v>7</v>
      </c>
      <c r="E8" s="25"/>
      <c r="F8" s="4"/>
      <c r="G8" s="4"/>
      <c r="H8" s="4"/>
      <c r="I8" s="4"/>
      <c r="J8" s="9">
        <f t="shared" si="0"/>
        <v>0</v>
      </c>
    </row>
    <row r="9" spans="2:25" ht="19.95" customHeight="1" thickBot="1" x14ac:dyDescent="0.35">
      <c r="B9" s="87"/>
      <c r="C9" s="80"/>
      <c r="D9" s="28" t="s">
        <v>8</v>
      </c>
      <c r="E9" s="29"/>
      <c r="F9" s="16"/>
      <c r="G9" s="16"/>
      <c r="H9" s="16"/>
      <c r="I9" s="16"/>
      <c r="J9" s="8">
        <f t="shared" si="0"/>
        <v>0</v>
      </c>
    </row>
    <row r="10" spans="2:25" ht="24" customHeight="1" x14ac:dyDescent="0.3">
      <c r="B10" s="88" t="s">
        <v>17</v>
      </c>
      <c r="C10" s="89"/>
      <c r="D10" s="24" t="s">
        <v>66</v>
      </c>
      <c r="E10" s="11">
        <v>25000</v>
      </c>
      <c r="F10" s="11"/>
      <c r="G10" s="11"/>
      <c r="H10" s="11"/>
      <c r="I10" s="11">
        <v>25000</v>
      </c>
      <c r="J10" s="94">
        <f>SUM(E10:I12)</f>
        <v>50000</v>
      </c>
    </row>
    <row r="11" spans="2:25" ht="19.95" customHeight="1" x14ac:dyDescent="0.3">
      <c r="B11" s="90"/>
      <c r="C11" s="91"/>
      <c r="D11" s="24" t="s">
        <v>12</v>
      </c>
      <c r="E11" s="11"/>
      <c r="F11" s="11"/>
      <c r="G11" s="11"/>
      <c r="H11" s="11"/>
      <c r="I11" s="11"/>
      <c r="J11" s="94"/>
    </row>
    <row r="12" spans="2:25" ht="19.95" customHeight="1" thickBot="1" x14ac:dyDescent="0.35">
      <c r="B12" s="92"/>
      <c r="C12" s="93"/>
      <c r="D12" s="24" t="s">
        <v>12</v>
      </c>
      <c r="E12" s="11"/>
      <c r="F12" s="11"/>
      <c r="G12" s="11"/>
      <c r="H12" s="11"/>
      <c r="I12" s="11"/>
      <c r="J12" s="81"/>
    </row>
    <row r="13" spans="2:25" ht="27" customHeight="1" thickBot="1" x14ac:dyDescent="0.35">
      <c r="B13" s="97" t="s">
        <v>18</v>
      </c>
      <c r="C13" s="77" t="s">
        <v>19</v>
      </c>
      <c r="D13" s="14" t="s">
        <v>29</v>
      </c>
      <c r="E13" s="15">
        <v>15000</v>
      </c>
      <c r="F13" s="15">
        <v>20000</v>
      </c>
      <c r="G13" s="15"/>
      <c r="H13" s="15">
        <v>15000</v>
      </c>
      <c r="I13" s="15">
        <v>25000</v>
      </c>
      <c r="J13" s="75">
        <f>SUM(E13:I14)</f>
        <v>129000</v>
      </c>
      <c r="N13" s="34"/>
      <c r="O13" s="34"/>
      <c r="P13" s="34"/>
      <c r="Q13" s="34"/>
      <c r="R13" s="34"/>
      <c r="S13" s="33"/>
      <c r="T13" s="34"/>
      <c r="U13" s="34"/>
      <c r="V13" s="34"/>
      <c r="W13" s="34"/>
      <c r="X13" s="34"/>
      <c r="Y13" s="33"/>
    </row>
    <row r="14" spans="2:25" ht="19.95" customHeight="1" thickBot="1" x14ac:dyDescent="0.35">
      <c r="B14" s="98"/>
      <c r="C14" s="78"/>
      <c r="D14" s="12" t="s">
        <v>30</v>
      </c>
      <c r="E14" s="15">
        <v>27000</v>
      </c>
      <c r="F14" s="15">
        <v>27000</v>
      </c>
      <c r="G14" s="15"/>
      <c r="H14" s="15"/>
      <c r="I14" s="15"/>
      <c r="J14" s="76"/>
    </row>
    <row r="15" spans="2:25" ht="19.95" customHeight="1" x14ac:dyDescent="0.3">
      <c r="B15" s="98"/>
      <c r="C15" s="77" t="s">
        <v>21</v>
      </c>
      <c r="D15" s="14" t="s">
        <v>12</v>
      </c>
      <c r="E15" s="15"/>
      <c r="F15" s="15"/>
      <c r="G15" s="15"/>
      <c r="H15" s="15"/>
      <c r="I15" s="15"/>
      <c r="J15" s="69">
        <f>SUM(E15:I16)</f>
        <v>0</v>
      </c>
    </row>
    <row r="16" spans="2:25" ht="19.95" customHeight="1" thickBot="1" x14ac:dyDescent="0.35">
      <c r="B16" s="98"/>
      <c r="C16" s="78"/>
      <c r="D16" s="21" t="s">
        <v>12</v>
      </c>
      <c r="E16" s="22"/>
      <c r="F16" s="22"/>
      <c r="G16" s="22"/>
      <c r="H16" s="22"/>
      <c r="I16" s="22"/>
      <c r="J16" s="81"/>
    </row>
    <row r="17" spans="2:13" ht="26.25" customHeight="1" x14ac:dyDescent="0.3">
      <c r="B17" s="98"/>
      <c r="C17" s="100" t="s">
        <v>20</v>
      </c>
      <c r="D17" s="10" t="s">
        <v>32</v>
      </c>
      <c r="E17" s="17">
        <v>10000</v>
      </c>
      <c r="F17" s="17"/>
      <c r="G17" s="17">
        <v>100000</v>
      </c>
      <c r="H17" s="17"/>
      <c r="I17" s="17"/>
      <c r="J17" s="69">
        <f>SUM(E17:I19)</f>
        <v>150000</v>
      </c>
    </row>
    <row r="18" spans="2:13" ht="19.95" customHeight="1" x14ac:dyDescent="0.3">
      <c r="B18" s="98"/>
      <c r="C18" s="101"/>
      <c r="D18" s="10" t="s">
        <v>31</v>
      </c>
      <c r="E18" s="17">
        <v>20000</v>
      </c>
      <c r="F18" s="17">
        <v>10000</v>
      </c>
      <c r="G18" s="17"/>
      <c r="H18" s="17">
        <v>10000</v>
      </c>
      <c r="I18" s="17"/>
      <c r="J18" s="70"/>
    </row>
    <row r="19" spans="2:13" ht="19.95" customHeight="1" thickBot="1" x14ac:dyDescent="0.35">
      <c r="B19" s="99"/>
      <c r="C19" s="102"/>
      <c r="D19" s="13" t="s">
        <v>12</v>
      </c>
      <c r="E19" s="17"/>
      <c r="F19" s="17"/>
      <c r="G19" s="17"/>
      <c r="H19" s="17"/>
      <c r="I19" s="17"/>
      <c r="J19" s="71"/>
    </row>
    <row r="20" spans="2:13" ht="34.950000000000003" customHeight="1" thickBot="1" x14ac:dyDescent="0.35">
      <c r="B20" s="95" t="s">
        <v>22</v>
      </c>
      <c r="C20" s="96"/>
      <c r="D20" s="23" t="s">
        <v>12</v>
      </c>
      <c r="E20" s="15"/>
      <c r="F20" s="15"/>
      <c r="G20" s="15"/>
      <c r="H20" s="15"/>
      <c r="I20" s="15"/>
      <c r="J20" s="20">
        <f>SUM(E20:I20)</f>
        <v>0</v>
      </c>
    </row>
    <row r="21" spans="2:13" ht="28.5" customHeight="1" x14ac:dyDescent="0.3">
      <c r="B21" s="83" t="s">
        <v>23</v>
      </c>
      <c r="C21" s="82"/>
      <c r="D21" s="84"/>
      <c r="E21" s="30">
        <f>SUM(25%*(E5+E7+E9+E13+E14+E15+E16+E17+E18+E19))</f>
        <v>29250</v>
      </c>
      <c r="F21" s="30">
        <f>SUM(25%*(F5+F7+F9+F13+F14+F15+F16+F17+F18+F19))</f>
        <v>29500</v>
      </c>
      <c r="G21" s="30">
        <f t="shared" ref="G21:I21" si="1">SUM(25%*(G5+G7+G9+G13+G14+G15+G16+G17+G18+G19))</f>
        <v>32500</v>
      </c>
      <c r="H21" s="30">
        <f t="shared" si="1"/>
        <v>12250</v>
      </c>
      <c r="I21" s="30">
        <f t="shared" si="1"/>
        <v>53750</v>
      </c>
      <c r="J21" s="18">
        <f>SUM(E21:I21)</f>
        <v>157250</v>
      </c>
    </row>
    <row r="22" spans="2:13" ht="28.5" customHeight="1" x14ac:dyDescent="0.3">
      <c r="B22" s="72" t="s">
        <v>10</v>
      </c>
      <c r="C22" s="73"/>
      <c r="D22" s="74"/>
      <c r="E22" s="31">
        <f>SUM(E5,E7,E9,E10:E21)</f>
        <v>171250</v>
      </c>
      <c r="F22" s="31">
        <f>SUM(F5,F7,F9,F10:F21)</f>
        <v>147500</v>
      </c>
      <c r="G22" s="31">
        <f t="shared" ref="G22:I22" si="2">SUM(G5,G7,G9,G10:G21)</f>
        <v>162500</v>
      </c>
      <c r="H22" s="31">
        <f t="shared" si="2"/>
        <v>61250</v>
      </c>
      <c r="I22" s="31">
        <f t="shared" si="2"/>
        <v>293750</v>
      </c>
      <c r="J22" s="19">
        <f>SUM(E22:I22)</f>
        <v>836250</v>
      </c>
    </row>
    <row r="26" spans="2:13" x14ac:dyDescent="0.3">
      <c r="D26">
        <v>2026</v>
      </c>
      <c r="E26">
        <v>2027</v>
      </c>
      <c r="F26">
        <v>2028</v>
      </c>
      <c r="G26">
        <v>2029</v>
      </c>
      <c r="H26">
        <v>2030</v>
      </c>
      <c r="I26" t="s">
        <v>45</v>
      </c>
      <c r="J26" t="s">
        <v>47</v>
      </c>
      <c r="K26" t="s">
        <v>44</v>
      </c>
      <c r="L26" t="s">
        <v>46</v>
      </c>
    </row>
    <row r="27" spans="2:13" x14ac:dyDescent="0.3">
      <c r="B27" s="35" t="s">
        <v>38</v>
      </c>
      <c r="C27" t="s">
        <v>41</v>
      </c>
      <c r="D27">
        <v>1</v>
      </c>
      <c r="E27">
        <v>1</v>
      </c>
      <c r="F27">
        <v>1</v>
      </c>
      <c r="G27">
        <v>1</v>
      </c>
      <c r="H27">
        <v>1</v>
      </c>
      <c r="I27">
        <v>3</v>
      </c>
      <c r="J27">
        <v>2000</v>
      </c>
      <c r="K27" s="37">
        <v>30000</v>
      </c>
      <c r="M27" t="s">
        <v>62</v>
      </c>
    </row>
    <row r="28" spans="2:13" x14ac:dyDescent="0.3">
      <c r="C28" t="s">
        <v>43</v>
      </c>
      <c r="D28">
        <v>1</v>
      </c>
      <c r="E28">
        <v>1</v>
      </c>
      <c r="F28">
        <v>1</v>
      </c>
      <c r="G28">
        <v>1</v>
      </c>
      <c r="H28">
        <v>1</v>
      </c>
      <c r="I28">
        <v>3</v>
      </c>
      <c r="J28">
        <v>2000</v>
      </c>
      <c r="K28" s="37">
        <v>30000</v>
      </c>
      <c r="M28" t="s">
        <v>62</v>
      </c>
    </row>
    <row r="29" spans="2:13" x14ac:dyDescent="0.3">
      <c r="C29" t="s">
        <v>42</v>
      </c>
      <c r="D29">
        <v>1</v>
      </c>
      <c r="E29">
        <v>1</v>
      </c>
      <c r="F29">
        <v>1</v>
      </c>
      <c r="G29">
        <v>1</v>
      </c>
      <c r="H29">
        <v>1</v>
      </c>
      <c r="I29">
        <v>3</v>
      </c>
      <c r="J29">
        <v>2000</v>
      </c>
      <c r="K29" s="37">
        <v>30000</v>
      </c>
      <c r="M29" t="s">
        <v>62</v>
      </c>
    </row>
    <row r="30" spans="2:13" x14ac:dyDescent="0.3">
      <c r="C30" t="s">
        <v>39</v>
      </c>
      <c r="D30">
        <v>2</v>
      </c>
      <c r="E30">
        <v>2</v>
      </c>
      <c r="F30">
        <v>2</v>
      </c>
      <c r="G30">
        <v>2</v>
      </c>
      <c r="H30">
        <v>2</v>
      </c>
      <c r="I30">
        <v>3</v>
      </c>
      <c r="J30">
        <v>2000</v>
      </c>
      <c r="K30" s="37">
        <v>20000</v>
      </c>
    </row>
    <row r="31" spans="2:13" x14ac:dyDescent="0.3">
      <c r="C31" t="s">
        <v>40</v>
      </c>
      <c r="D31">
        <v>10</v>
      </c>
      <c r="E31">
        <v>10</v>
      </c>
      <c r="F31">
        <v>10</v>
      </c>
      <c r="J31" s="36">
        <v>750</v>
      </c>
      <c r="K31" s="37">
        <v>22500</v>
      </c>
    </row>
    <row r="35" spans="2:14" x14ac:dyDescent="0.3">
      <c r="B35" s="33"/>
      <c r="C35" s="55" t="s">
        <v>33</v>
      </c>
      <c r="D35" s="55"/>
      <c r="E35" s="55"/>
      <c r="F35" s="55"/>
      <c r="G35" s="55"/>
      <c r="H35" s="33"/>
      <c r="I35" s="55" t="s">
        <v>34</v>
      </c>
      <c r="J35" s="55"/>
      <c r="K35" s="55"/>
      <c r="L35" s="55"/>
      <c r="M35" s="55"/>
      <c r="N35" s="33"/>
    </row>
    <row r="36" spans="2:14" x14ac:dyDescent="0.3">
      <c r="B36" s="33"/>
      <c r="C36" s="44" t="s">
        <v>1</v>
      </c>
      <c r="D36" s="44" t="s">
        <v>2</v>
      </c>
      <c r="E36" s="44" t="s">
        <v>3</v>
      </c>
      <c r="F36" s="44" t="s">
        <v>4</v>
      </c>
      <c r="G36" s="44" t="s">
        <v>5</v>
      </c>
      <c r="H36" s="33"/>
      <c r="I36" s="44" t="s">
        <v>1</v>
      </c>
      <c r="J36" s="44" t="s">
        <v>2</v>
      </c>
      <c r="K36" s="44" t="s">
        <v>3</v>
      </c>
      <c r="L36" s="44" t="s">
        <v>4</v>
      </c>
      <c r="M36" s="44" t="s">
        <v>5</v>
      </c>
      <c r="N36" s="45" t="s">
        <v>35</v>
      </c>
    </row>
    <row r="37" spans="2:14" ht="29.4" thickBot="1" x14ac:dyDescent="0.35">
      <c r="B37" s="33"/>
      <c r="C37" s="46" t="s">
        <v>26</v>
      </c>
      <c r="D37" s="46" t="s">
        <v>27</v>
      </c>
      <c r="E37" s="46" t="s">
        <v>28</v>
      </c>
      <c r="F37" s="46" t="s">
        <v>24</v>
      </c>
      <c r="G37" s="46" t="s">
        <v>25</v>
      </c>
      <c r="H37" s="47" t="s">
        <v>36</v>
      </c>
      <c r="I37" s="46" t="s">
        <v>26</v>
      </c>
      <c r="J37" s="46" t="s">
        <v>27</v>
      </c>
      <c r="K37" s="46" t="s">
        <v>28</v>
      </c>
      <c r="L37" s="46" t="s">
        <v>24</v>
      </c>
      <c r="M37" s="46" t="s">
        <v>25</v>
      </c>
      <c r="N37" s="47" t="s">
        <v>37</v>
      </c>
    </row>
    <row r="38" spans="2:14" x14ac:dyDescent="0.3">
      <c r="B38" s="33" t="s">
        <v>101</v>
      </c>
      <c r="C38" s="33">
        <v>3</v>
      </c>
      <c r="D38" s="33">
        <v>3</v>
      </c>
      <c r="E38" s="33">
        <v>2</v>
      </c>
      <c r="F38" s="33">
        <v>2</v>
      </c>
      <c r="G38" s="33">
        <v>4</v>
      </c>
      <c r="H38" s="33">
        <f>SUM(C38:G38)</f>
        <v>14</v>
      </c>
      <c r="I38" s="33">
        <f>3*5000</f>
        <v>15000</v>
      </c>
      <c r="J38" s="33">
        <f>3*5000</f>
        <v>15000</v>
      </c>
      <c r="K38" s="33">
        <f>2*5000</f>
        <v>10000</v>
      </c>
      <c r="L38" s="33">
        <f>2*5000</f>
        <v>10000</v>
      </c>
      <c r="M38" s="33">
        <f>4*5000</f>
        <v>20000</v>
      </c>
      <c r="N38" s="33">
        <f>SUM(I38:M38)</f>
        <v>70000</v>
      </c>
    </row>
    <row r="39" spans="2:14" x14ac:dyDescent="0.3">
      <c r="B39" s="33" t="s">
        <v>102</v>
      </c>
      <c r="C39" s="33">
        <v>2</v>
      </c>
      <c r="D39" s="33">
        <v>1</v>
      </c>
      <c r="E39" s="33">
        <v>0</v>
      </c>
      <c r="F39" s="33">
        <v>1</v>
      </c>
      <c r="G39" s="33">
        <v>0</v>
      </c>
      <c r="H39" s="33">
        <f t="shared" ref="H39:H43" si="3">SUM(C39:G39)</f>
        <v>4</v>
      </c>
      <c r="I39" s="33">
        <f>2*5000</f>
        <v>10000</v>
      </c>
      <c r="J39" s="33">
        <f>1*5000</f>
        <v>5000</v>
      </c>
      <c r="K39" s="33">
        <v>0</v>
      </c>
      <c r="L39" s="33">
        <f>1*5000</f>
        <v>5000</v>
      </c>
      <c r="M39" s="33">
        <v>0</v>
      </c>
      <c r="N39" s="33">
        <f>SUM(I39:M39)</f>
        <v>20000</v>
      </c>
    </row>
    <row r="40" spans="2:14" x14ac:dyDescent="0.3">
      <c r="B40" s="33" t="s">
        <v>71</v>
      </c>
      <c r="C40" s="33">
        <v>2</v>
      </c>
      <c r="D40" s="33">
        <v>2</v>
      </c>
      <c r="E40" s="33">
        <v>2</v>
      </c>
      <c r="F40" s="33">
        <v>0</v>
      </c>
      <c r="G40" s="33">
        <v>0</v>
      </c>
      <c r="H40" s="33">
        <f t="shared" si="3"/>
        <v>6</v>
      </c>
      <c r="I40" s="33">
        <f>2*5000</f>
        <v>10000</v>
      </c>
      <c r="J40" s="33">
        <f>2*5000</f>
        <v>10000</v>
      </c>
      <c r="K40" s="33">
        <f>2*5000</f>
        <v>10000</v>
      </c>
      <c r="L40" s="33">
        <v>0</v>
      </c>
      <c r="M40" s="33">
        <v>0</v>
      </c>
      <c r="N40" s="33">
        <f t="shared" ref="N40:N43" si="4">SUM(I40:M40)</f>
        <v>30000</v>
      </c>
    </row>
    <row r="41" spans="2:14" x14ac:dyDescent="0.3">
      <c r="B41" s="33" t="s">
        <v>72</v>
      </c>
      <c r="C41" s="33">
        <v>2</v>
      </c>
      <c r="D41" s="33">
        <v>2</v>
      </c>
      <c r="E41" s="33">
        <v>2</v>
      </c>
      <c r="F41" s="33">
        <v>0</v>
      </c>
      <c r="G41" s="33">
        <v>0</v>
      </c>
      <c r="H41" s="33">
        <f t="shared" si="3"/>
        <v>6</v>
      </c>
      <c r="I41" s="48">
        <v>10000</v>
      </c>
      <c r="J41" s="48">
        <v>10000</v>
      </c>
      <c r="K41" s="33">
        <v>0</v>
      </c>
      <c r="L41" s="33">
        <f>1*5000</f>
        <v>5000</v>
      </c>
      <c r="M41" s="33">
        <v>0</v>
      </c>
      <c r="N41" s="33">
        <f t="shared" si="4"/>
        <v>25000</v>
      </c>
    </row>
    <row r="42" spans="2:14" x14ac:dyDescent="0.3">
      <c r="B42" s="33" t="s">
        <v>73</v>
      </c>
      <c r="C42" s="33">
        <v>0</v>
      </c>
      <c r="D42" s="33">
        <v>1</v>
      </c>
      <c r="E42" s="33">
        <v>2</v>
      </c>
      <c r="F42" s="33">
        <v>0</v>
      </c>
      <c r="G42" s="33">
        <v>0</v>
      </c>
      <c r="H42" s="33">
        <f t="shared" si="3"/>
        <v>3</v>
      </c>
      <c r="I42" s="33">
        <v>0</v>
      </c>
      <c r="J42" s="33">
        <f>1*5000</f>
        <v>5000</v>
      </c>
      <c r="K42" s="48">
        <v>10000</v>
      </c>
      <c r="L42" s="33">
        <v>0</v>
      </c>
      <c r="M42" s="33">
        <v>0</v>
      </c>
      <c r="N42" s="33">
        <f>SUM(I42:M42)</f>
        <v>15000</v>
      </c>
    </row>
    <row r="43" spans="2:14" x14ac:dyDescent="0.3">
      <c r="B43" s="33" t="s">
        <v>74</v>
      </c>
      <c r="C43" s="33">
        <v>0</v>
      </c>
      <c r="D43" s="33">
        <v>1</v>
      </c>
      <c r="E43" s="33">
        <v>2</v>
      </c>
      <c r="F43" s="33">
        <v>1</v>
      </c>
      <c r="G43" s="33">
        <v>0</v>
      </c>
      <c r="H43" s="33">
        <f t="shared" si="3"/>
        <v>4</v>
      </c>
      <c r="I43" s="33">
        <v>0</v>
      </c>
      <c r="J43" s="33">
        <f>4*4000</f>
        <v>16000</v>
      </c>
      <c r="K43" s="33">
        <v>0</v>
      </c>
      <c r="L43" s="33">
        <v>4000</v>
      </c>
      <c r="M43" s="33">
        <v>0</v>
      </c>
      <c r="N43" s="33">
        <f t="shared" si="4"/>
        <v>20000</v>
      </c>
    </row>
    <row r="44" spans="2:14" x14ac:dyDescent="0.3">
      <c r="B44" s="33" t="s">
        <v>75</v>
      </c>
      <c r="C44" s="33">
        <v>0</v>
      </c>
      <c r="D44" s="33">
        <v>0</v>
      </c>
      <c r="E44" s="33">
        <v>0</v>
      </c>
      <c r="F44" s="33">
        <v>0</v>
      </c>
      <c r="G44" s="33">
        <v>36</v>
      </c>
      <c r="H44" s="33">
        <v>36</v>
      </c>
      <c r="I44" s="33">
        <v>0</v>
      </c>
      <c r="J44" s="33">
        <v>0</v>
      </c>
      <c r="K44" s="33">
        <v>0</v>
      </c>
      <c r="L44" s="33">
        <v>0</v>
      </c>
      <c r="M44" s="33">
        <v>170000</v>
      </c>
      <c r="N44" s="33">
        <f>SUM(I44:M44)</f>
        <v>170000</v>
      </c>
    </row>
    <row r="45" spans="2:14" x14ac:dyDescent="0.3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</row>
    <row r="46" spans="2:14" x14ac:dyDescent="0.3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47" spans="2:14" x14ac:dyDescent="0.3">
      <c r="B47" s="33" t="s">
        <v>6</v>
      </c>
      <c r="C47" s="49">
        <f>SUM(C38:C46)</f>
        <v>9</v>
      </c>
      <c r="D47" s="49">
        <f t="shared" ref="D47:G47" si="5">SUM(D38:D46)</f>
        <v>10</v>
      </c>
      <c r="E47" s="49">
        <f t="shared" si="5"/>
        <v>10</v>
      </c>
      <c r="F47" s="49">
        <f>SUM(F38:F46)</f>
        <v>4</v>
      </c>
      <c r="G47" s="49">
        <f t="shared" si="5"/>
        <v>40</v>
      </c>
      <c r="H47" s="33">
        <f>SUM(C47:G47)</f>
        <v>73</v>
      </c>
      <c r="I47" s="49">
        <f>SUM(I38:I46)</f>
        <v>45000</v>
      </c>
      <c r="J47" s="49">
        <f t="shared" ref="J47:N47" si="6">SUM(J38:J46)</f>
        <v>61000</v>
      </c>
      <c r="K47" s="49">
        <f t="shared" si="6"/>
        <v>30000</v>
      </c>
      <c r="L47" s="49">
        <f>SUM(L38:L46)</f>
        <v>24000</v>
      </c>
      <c r="M47" s="49">
        <f t="shared" si="6"/>
        <v>190000</v>
      </c>
      <c r="N47" s="33">
        <f t="shared" si="6"/>
        <v>350000</v>
      </c>
    </row>
    <row r="53" spans="3:14" x14ac:dyDescent="0.3">
      <c r="F53" s="1" t="s">
        <v>1</v>
      </c>
      <c r="G53" s="1" t="s">
        <v>2</v>
      </c>
      <c r="H53" s="1" t="s">
        <v>3</v>
      </c>
      <c r="I53" s="1" t="s">
        <v>4</v>
      </c>
      <c r="J53" s="1" t="s">
        <v>5</v>
      </c>
      <c r="L53" s="50" t="s">
        <v>76</v>
      </c>
      <c r="M53" s="50" t="s">
        <v>77</v>
      </c>
      <c r="N53" s="50" t="s">
        <v>78</v>
      </c>
    </row>
    <row r="54" spans="3:14" ht="19.8" thickBot="1" x14ac:dyDescent="0.35">
      <c r="F54" s="2" t="s">
        <v>26</v>
      </c>
      <c r="G54" s="2" t="s">
        <v>27</v>
      </c>
      <c r="H54" s="2" t="s">
        <v>28</v>
      </c>
      <c r="I54" s="2" t="s">
        <v>24</v>
      </c>
      <c r="J54" s="2" t="s">
        <v>25</v>
      </c>
      <c r="L54" s="50">
        <v>1</v>
      </c>
      <c r="M54" s="53" t="s">
        <v>80</v>
      </c>
      <c r="N54" s="56" t="s">
        <v>81</v>
      </c>
    </row>
    <row r="55" spans="3:14" ht="30.6" x14ac:dyDescent="0.3">
      <c r="C55" s="40" t="s">
        <v>48</v>
      </c>
      <c r="D55" s="41">
        <v>0.17</v>
      </c>
      <c r="E55" s="38">
        <v>76592.250075000018</v>
      </c>
      <c r="F55" s="42" t="s">
        <v>55</v>
      </c>
      <c r="G55" s="42" t="s">
        <v>56</v>
      </c>
      <c r="H55" s="42" t="s">
        <v>56</v>
      </c>
      <c r="I55" s="42" t="s">
        <v>56</v>
      </c>
      <c r="J55" s="42" t="s">
        <v>54</v>
      </c>
      <c r="L55" s="50" t="s">
        <v>79</v>
      </c>
      <c r="M55" s="53"/>
      <c r="N55" s="56"/>
    </row>
    <row r="56" spans="3:14" ht="27" x14ac:dyDescent="0.3">
      <c r="C56" s="40" t="s">
        <v>49</v>
      </c>
      <c r="D56" s="41">
        <v>0.05</v>
      </c>
      <c r="E56" s="39">
        <v>22527.132375000001</v>
      </c>
      <c r="F56" t="s">
        <v>57</v>
      </c>
      <c r="H56" t="s">
        <v>70</v>
      </c>
      <c r="I56" t="s">
        <v>70</v>
      </c>
      <c r="L56" s="50">
        <v>2</v>
      </c>
      <c r="M56" s="53" t="s">
        <v>82</v>
      </c>
      <c r="N56" s="51" t="s">
        <v>83</v>
      </c>
    </row>
    <row r="57" spans="3:14" ht="45.6" x14ac:dyDescent="0.3">
      <c r="C57" s="40" t="s">
        <v>50</v>
      </c>
      <c r="D57" s="41">
        <v>0.08</v>
      </c>
      <c r="E57" s="39">
        <v>24980.429099999998</v>
      </c>
      <c r="F57" t="s">
        <v>58</v>
      </c>
      <c r="G57" t="s">
        <v>58</v>
      </c>
      <c r="H57" t="s">
        <v>58</v>
      </c>
      <c r="L57" s="50">
        <v>3</v>
      </c>
      <c r="M57" s="53" t="s">
        <v>84</v>
      </c>
      <c r="N57" s="51" t="s">
        <v>85</v>
      </c>
    </row>
    <row r="58" spans="3:14" ht="15.6" x14ac:dyDescent="0.3">
      <c r="C58" s="40" t="s">
        <v>51</v>
      </c>
      <c r="D58" s="41">
        <v>0.08</v>
      </c>
      <c r="E58" s="38">
        <v>24980.429099999998</v>
      </c>
      <c r="G58" t="s">
        <v>59</v>
      </c>
      <c r="H58" t="s">
        <v>59</v>
      </c>
      <c r="L58" s="57">
        <v>4</v>
      </c>
      <c r="M58" s="53" t="s">
        <v>86</v>
      </c>
      <c r="N58" s="56" t="s">
        <v>81</v>
      </c>
    </row>
    <row r="59" spans="3:14" ht="30.6" x14ac:dyDescent="0.3">
      <c r="C59" s="40" t="s">
        <v>52</v>
      </c>
      <c r="D59" s="41">
        <v>0.05</v>
      </c>
      <c r="E59" s="38">
        <v>15527.919</v>
      </c>
      <c r="F59" t="s">
        <v>60</v>
      </c>
      <c r="I59" t="s">
        <v>60</v>
      </c>
      <c r="L59" s="57"/>
      <c r="M59" s="53" t="s">
        <v>87</v>
      </c>
      <c r="N59" s="56"/>
    </row>
    <row r="60" spans="3:14" ht="27" x14ac:dyDescent="0.3">
      <c r="C60" s="40" t="s">
        <v>53</v>
      </c>
      <c r="D60" s="41">
        <v>0.05</v>
      </c>
      <c r="E60" s="39">
        <v>19805.288250000001</v>
      </c>
      <c r="F60" t="s">
        <v>61</v>
      </c>
      <c r="H60" t="s">
        <v>61</v>
      </c>
      <c r="I60" t="s">
        <v>61</v>
      </c>
      <c r="L60" s="50">
        <v>5</v>
      </c>
      <c r="M60" s="53" t="s">
        <v>88</v>
      </c>
      <c r="N60" s="51" t="s">
        <v>89</v>
      </c>
    </row>
    <row r="61" spans="3:14" ht="27" x14ac:dyDescent="0.3">
      <c r="F61">
        <v>49274.25</v>
      </c>
      <c r="G61">
        <v>25250.51</v>
      </c>
      <c r="H61">
        <v>51442.623</v>
      </c>
      <c r="I61">
        <v>27125.96</v>
      </c>
      <c r="J61">
        <v>31282.5</v>
      </c>
      <c r="L61" s="50">
        <v>6</v>
      </c>
      <c r="M61" s="53" t="s">
        <v>90</v>
      </c>
      <c r="N61" s="51" t="s">
        <v>89</v>
      </c>
    </row>
    <row r="62" spans="3:14" x14ac:dyDescent="0.3">
      <c r="E62" t="s">
        <v>63</v>
      </c>
      <c r="F62" s="43">
        <v>41714.9</v>
      </c>
      <c r="G62" s="43">
        <v>41714.9</v>
      </c>
      <c r="H62" s="43">
        <v>41714.9</v>
      </c>
      <c r="I62" s="43">
        <v>41714.9</v>
      </c>
      <c r="J62" s="43">
        <v>41714.9</v>
      </c>
      <c r="L62" s="50">
        <v>7</v>
      </c>
      <c r="M62" s="53" t="s">
        <v>91</v>
      </c>
      <c r="N62" s="51" t="s">
        <v>92</v>
      </c>
    </row>
    <row r="63" spans="3:14" x14ac:dyDescent="0.3">
      <c r="F63">
        <f>SUM(F61:F62)</f>
        <v>90989.15</v>
      </c>
      <c r="G63">
        <f t="shared" ref="G63:J63" si="7">SUM(G61:G62)</f>
        <v>66965.41</v>
      </c>
      <c r="H63">
        <f t="shared" si="7"/>
        <v>93157.523000000001</v>
      </c>
      <c r="I63">
        <f t="shared" si="7"/>
        <v>68840.86</v>
      </c>
      <c r="J63">
        <f t="shared" si="7"/>
        <v>72997.399999999994</v>
      </c>
      <c r="L63" s="50">
        <v>8</v>
      </c>
      <c r="M63" s="53" t="s">
        <v>93</v>
      </c>
      <c r="N63" s="51" t="s">
        <v>94</v>
      </c>
    </row>
    <row r="64" spans="3:14" x14ac:dyDescent="0.3">
      <c r="L64" s="50">
        <v>9</v>
      </c>
      <c r="M64" s="53" t="s">
        <v>95</v>
      </c>
      <c r="N64" s="51" t="s">
        <v>92</v>
      </c>
    </row>
    <row r="65" spans="12:14" ht="28.2" x14ac:dyDescent="0.3">
      <c r="L65" s="50">
        <v>10</v>
      </c>
      <c r="M65" s="54" t="s">
        <v>96</v>
      </c>
      <c r="N65" s="52" t="s">
        <v>97</v>
      </c>
    </row>
    <row r="66" spans="12:14" x14ac:dyDescent="0.3">
      <c r="L66" s="50">
        <v>11</v>
      </c>
      <c r="M66" s="53" t="s">
        <v>98</v>
      </c>
      <c r="N66" s="51" t="s">
        <v>99</v>
      </c>
    </row>
  </sheetData>
  <mergeCells count="26">
    <mergeCell ref="B22:D22"/>
    <mergeCell ref="J13:J14"/>
    <mergeCell ref="C15:C16"/>
    <mergeCell ref="C4:C5"/>
    <mergeCell ref="J15:J16"/>
    <mergeCell ref="C8:C9"/>
    <mergeCell ref="B21:D21"/>
    <mergeCell ref="B4:B9"/>
    <mergeCell ref="C6:C7"/>
    <mergeCell ref="B10:C12"/>
    <mergeCell ref="J10:J12"/>
    <mergeCell ref="B20:C20"/>
    <mergeCell ref="B13:B19"/>
    <mergeCell ref="C13:C14"/>
    <mergeCell ref="C17:C19"/>
    <mergeCell ref="T1:X1"/>
    <mergeCell ref="B2:D3"/>
    <mergeCell ref="E1:J1"/>
    <mergeCell ref="B1:D1"/>
    <mergeCell ref="J17:J19"/>
    <mergeCell ref="N1:R1"/>
    <mergeCell ref="C35:G35"/>
    <mergeCell ref="I35:M35"/>
    <mergeCell ref="N54:N55"/>
    <mergeCell ref="L58:L59"/>
    <mergeCell ref="N58:N59"/>
  </mergeCells>
  <conditionalFormatting sqref="C55:D60">
    <cfRule type="containsBlanks" dxfId="1" priority="3">
      <formula>LEN(TRIM(C55))=0</formula>
    </cfRule>
  </conditionalFormatting>
  <conditionalFormatting sqref="C55:E60">
    <cfRule type="containsErrors" dxfId="0" priority="1">
      <formula>ISERROR(C55)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BUDGET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oleg</cp:lastModifiedBy>
  <dcterms:created xsi:type="dcterms:W3CDTF">2015-04-05T16:58:05Z</dcterms:created>
  <dcterms:modified xsi:type="dcterms:W3CDTF">2025-11-05T16:22:46Z</dcterms:modified>
</cp:coreProperties>
</file>