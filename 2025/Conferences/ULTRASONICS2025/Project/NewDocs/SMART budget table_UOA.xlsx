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/>
  <mc:AlternateContent xmlns:mc="http://schemas.openxmlformats.org/markup-compatibility/2006">
    <mc:Choice Requires="x15">
      <x15ac:absPath xmlns:x15ac="http://schemas.microsoft.com/office/spreadsheetml/2010/11/ac" url="C:\Users\zoida\OneDrive - National and Kapodistrian University of Athens\Desktop\"/>
    </mc:Choice>
  </mc:AlternateContent>
  <xr:revisionPtr revIDLastSave="0" documentId="8_{80BB823C-BE31-476D-BBBD-C124BA9C0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 TAB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R5" i="1" l="1"/>
  <c r="R6" i="1"/>
  <c r="R7" i="1"/>
  <c r="R8" i="1"/>
  <c r="R9" i="1"/>
  <c r="R10" i="1"/>
  <c r="R13" i="1"/>
  <c r="R4" i="1"/>
  <c r="T13" i="1"/>
  <c r="U13" i="1"/>
  <c r="V13" i="1"/>
  <c r="W13" i="1"/>
  <c r="X13" i="1"/>
  <c r="S13" i="1"/>
  <c r="N13" i="1"/>
  <c r="O13" i="1"/>
  <c r="P13" i="1"/>
  <c r="Q13" i="1"/>
  <c r="M13" i="1"/>
  <c r="X10" i="1"/>
  <c r="V10" i="1"/>
  <c r="T10" i="1"/>
  <c r="S10" i="1"/>
  <c r="X7" i="1"/>
  <c r="X8" i="1"/>
  <c r="X9" i="1"/>
  <c r="T9" i="1"/>
  <c r="S9" i="1"/>
  <c r="T8" i="1"/>
  <c r="S8" i="1"/>
  <c r="T7" i="1"/>
  <c r="S7" i="1"/>
  <c r="X5" i="1"/>
  <c r="X6" i="1"/>
  <c r="X4" i="1"/>
  <c r="S4" i="1"/>
  <c r="T4" i="1"/>
  <c r="U4" i="1"/>
  <c r="V4" i="1"/>
  <c r="W4" i="1"/>
  <c r="E21" i="1" l="1"/>
  <c r="E22" i="1" s="1"/>
  <c r="F21" i="1"/>
  <c r="G21" i="1"/>
  <c r="G22" i="1" s="1"/>
  <c r="H21" i="1"/>
  <c r="H22" i="1" s="1"/>
  <c r="F22" i="1"/>
  <c r="I17" i="1"/>
  <c r="D21" i="1"/>
  <c r="D22" i="1" s="1"/>
  <c r="I8" i="1"/>
  <c r="I6" i="1"/>
  <c r="I9" i="1"/>
  <c r="I7" i="1"/>
  <c r="I15" i="1"/>
  <c r="I5" i="1"/>
  <c r="I4" i="1"/>
  <c r="I20" i="1"/>
  <c r="I13" i="1"/>
  <c r="I10" i="1"/>
  <c r="I21" i="1" l="1"/>
  <c r="I22" i="1"/>
</calcChain>
</file>

<file path=xl/sharedStrings.xml><?xml version="1.0" encoding="utf-8"?>
<sst xmlns="http://purl.oclc.org/ooxml/spreadsheetml/main" count="76" uniqueCount="46">
  <si>
    <t>ESTIMATED COSTS PER WP</t>
  </si>
  <si>
    <t>WP1</t>
  </si>
  <si>
    <t>WP2</t>
  </si>
  <si>
    <t>WP3</t>
  </si>
  <si>
    <t>WP4</t>
  </si>
  <si>
    <t>WP5</t>
  </si>
  <si>
    <t>TOTAL</t>
  </si>
  <si>
    <t>PERSON-MONTHS</t>
  </si>
  <si>
    <t>PERSONNEL COSTS (gross amount)</t>
  </si>
  <si>
    <t>SME owner/natural person directly not receiving a salary</t>
  </si>
  <si>
    <t>TOTAL BUDGET</t>
  </si>
  <si>
    <t>PERSONMONTHS</t>
  </si>
  <si>
    <t>Please describe</t>
  </si>
  <si>
    <t>Based on Actual Costs</t>
  </si>
  <si>
    <t xml:space="preserve">Based on Unit Costs </t>
  </si>
  <si>
    <t>Please fill in only the yellow cells</t>
  </si>
  <si>
    <t xml:space="preserve">Personnel costs </t>
  </si>
  <si>
    <t>Subcontracting costs</t>
  </si>
  <si>
    <t>Purchase costs</t>
  </si>
  <si>
    <t xml:space="preserve">Travel &amp; Subsistence </t>
  </si>
  <si>
    <t xml:space="preserve">Other goods, works and services </t>
  </si>
  <si>
    <t>Equipment (depreciation cost only)</t>
  </si>
  <si>
    <t>Internally invoiced goods and services</t>
  </si>
  <si>
    <t>Indirect Costs (flat rate - 25% on total direct costs excluding subcontracting, internally invoiced goods and services)</t>
  </si>
  <si>
    <t>Dissemination, outreach and exploitation </t>
  </si>
  <si>
    <t>Project Management </t>
  </si>
  <si>
    <t xml:space="preserve">Foundation and  Implementation </t>
  </si>
  <si>
    <t xml:space="preserve">Expansion and  Global Impact </t>
  </si>
  <si>
    <t>Scientific Research</t>
  </si>
  <si>
    <t>Attending to project meetings/dissemination events</t>
  </si>
  <si>
    <t>Organisation of training/networking events</t>
  </si>
  <si>
    <t>consumables for training events and research</t>
  </si>
  <si>
    <t>Senior Teaching staff (Dr. Vivi Skourou)</t>
  </si>
  <si>
    <t>Professor Panos Adamopoulos</t>
  </si>
  <si>
    <t>Professor Christos Kontos</t>
  </si>
  <si>
    <t xml:space="preserve">PI (Professor Makis Zoidakis) </t>
  </si>
  <si>
    <t>Senior Teaching Staff (Dr. Panos Tsiakanikas)</t>
  </si>
  <si>
    <t>Senior Teaching staff (Dr. Lara Kravariti)</t>
  </si>
  <si>
    <t>Senior Post-doc (Dr. Evi Karousi)</t>
  </si>
  <si>
    <t>Person Months</t>
  </si>
  <si>
    <t>Personnel Cost</t>
  </si>
  <si>
    <t>Total</t>
  </si>
  <si>
    <t>Total  PM</t>
  </si>
  <si>
    <t>Total Cost</t>
  </si>
  <si>
    <t>UOA</t>
  </si>
  <si>
    <t>Attending training events/secondments to partners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</si>
</sst>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\ &quot;€&quot;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8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3" fontId="6" fillId="5" borderId="5" xfId="2" applyNumberFormat="1" applyFont="1" applyFill="1" applyBorder="1" applyAlignment="1">
      <alignment horizontal="center" vertical="center" wrapText="1"/>
    </xf>
    <xf numFmtId="3" fontId="7" fillId="6" borderId="6" xfId="2" applyNumberFormat="1" applyFont="1" applyFill="1" applyBorder="1" applyAlignment="1">
      <alignment horizontal="center" vertical="center" wrapText="1"/>
    </xf>
    <xf numFmtId="4" fontId="8" fillId="6" borderId="1" xfId="2" applyNumberFormat="1" applyFont="1" applyFill="1" applyBorder="1" applyAlignment="1">
      <alignment horizontal="center" vertical="center" wrapText="1"/>
    </xf>
    <xf numFmtId="3" fontId="6" fillId="5" borderId="8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3" fontId="7" fillId="6" borderId="8" xfId="2" applyNumberFormat="1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vertical="center" wrapText="1"/>
    </xf>
    <xf numFmtId="165" fontId="5" fillId="5" borderId="6" xfId="2" applyNumberFormat="1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center" wrapText="1"/>
    </xf>
    <xf numFmtId="165" fontId="5" fillId="5" borderId="5" xfId="2" applyNumberFormat="1" applyFont="1" applyFill="1" applyBorder="1" applyAlignment="1">
      <alignment horizontal="center" vertical="center" wrapText="1"/>
    </xf>
    <xf numFmtId="165" fontId="5" fillId="5" borderId="7" xfId="2" applyNumberFormat="1" applyFont="1" applyFill="1" applyBorder="1" applyAlignment="1">
      <alignment horizontal="center" vertical="center" wrapText="1"/>
    </xf>
    <xf numFmtId="165" fontId="5" fillId="5" borderId="8" xfId="2" applyNumberFormat="1" applyFont="1" applyFill="1" applyBorder="1" applyAlignment="1">
      <alignment horizontal="center" vertical="center" wrapText="1"/>
    </xf>
    <xf numFmtId="4" fontId="8" fillId="6" borderId="10" xfId="2" applyNumberFormat="1" applyFont="1" applyFill="1" applyBorder="1" applyAlignment="1">
      <alignment horizontal="center" vertical="center" wrapText="1"/>
    </xf>
    <xf numFmtId="4" fontId="9" fillId="3" borderId="11" xfId="2" applyNumberFormat="1" applyFont="1" applyFill="1" applyBorder="1" applyAlignment="1">
      <alignment horizontal="center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vertical="center" wrapText="1"/>
    </xf>
    <xf numFmtId="165" fontId="5" fillId="5" borderId="2" xfId="2" applyNumberFormat="1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3" fontId="6" fillId="5" borderId="20" xfId="2" applyNumberFormat="1" applyFont="1" applyFill="1" applyBorder="1" applyAlignment="1">
      <alignment horizontal="center" vertical="center" wrapText="1"/>
    </xf>
    <xf numFmtId="3" fontId="6" fillId="5" borderId="10" xfId="2" applyNumberFormat="1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vertical="center" wrapText="1"/>
    </xf>
    <xf numFmtId="0" fontId="5" fillId="4" borderId="26" xfId="2" applyFont="1" applyFill="1" applyBorder="1" applyAlignment="1">
      <alignment vertical="center" wrapText="1"/>
    </xf>
    <xf numFmtId="165" fontId="5" fillId="5" borderId="23" xfId="2" applyNumberFormat="1" applyFont="1" applyFill="1" applyBorder="1" applyAlignment="1">
      <alignment horizontal="center" vertical="center" wrapText="1"/>
    </xf>
    <xf numFmtId="165" fontId="5" fillId="6" borderId="8" xfId="2" applyNumberFormat="1" applyFont="1" applyFill="1" applyBorder="1" applyAlignment="1">
      <alignment vertical="center" wrapText="1"/>
    </xf>
    <xf numFmtId="165" fontId="8" fillId="6" borderId="6" xfId="2" applyNumberFormat="1" applyFont="1" applyFill="1" applyBorder="1" applyAlignment="1">
      <alignment vertical="center" wrapText="1"/>
    </xf>
    <xf numFmtId="49" fontId="4" fillId="4" borderId="3" xfId="2" applyNumberFormat="1" applyFont="1" applyFill="1" applyBorder="1" applyAlignment="1">
      <alignment horizontal="center" vertical="center" wrapText="1"/>
    </xf>
    <xf numFmtId="0" fontId="0" fillId="5" borderId="0" xfId="0" applyFill="1"/>
    <xf numFmtId="0" fontId="14" fillId="0" borderId="0" xfId="0" applyFont="1"/>
    <xf numFmtId="0" fontId="0" fillId="0" borderId="36" xfId="0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6" borderId="13" xfId="2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4" fontId="8" fillId="6" borderId="21" xfId="2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3" borderId="16" xfId="2" applyFont="1" applyFill="1" applyBorder="1" applyAlignment="1">
      <alignment horizontal="right" vertical="center" wrapText="1"/>
    </xf>
    <xf numFmtId="0" fontId="11" fillId="3" borderId="17" xfId="2" applyFont="1" applyFill="1" applyBorder="1" applyAlignment="1">
      <alignment horizontal="right" vertical="center" wrapText="1"/>
    </xf>
    <xf numFmtId="0" fontId="11" fillId="3" borderId="11" xfId="2" applyFont="1" applyFill="1" applyBorder="1" applyAlignment="1">
      <alignment horizontal="right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 vertical="center" wrapText="1"/>
    </xf>
    <xf numFmtId="0" fontId="3" fillId="2" borderId="23" xfId="2" applyFont="1" applyFill="1" applyBorder="1" applyAlignment="1">
      <alignment horizontal="left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4" fontId="8" fillId="6" borderId="2" xfId="2" applyNumberFormat="1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3" fillId="2" borderId="28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center" vertical="center" wrapText="1"/>
    </xf>
    <xf numFmtId="4" fontId="8" fillId="6" borderId="3" xfId="2" applyNumberFormat="1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3">
    <cellStyle name="Euro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zoomScale="80" zoomScaleNormal="80" workbookViewId="0">
      <selection activeCell="K19" sqref="K19"/>
    </sheetView>
  </sheetViews>
  <sheetFormatPr defaultColWidth="8.88671875" defaultRowHeight="14.4" x14ac:dyDescent="0.3"/>
  <cols>
    <col min="1" max="1" width="11" customWidth="1"/>
    <col min="2" max="2" width="18.44140625" customWidth="1"/>
    <col min="3" max="3" width="34.109375" customWidth="1"/>
    <col min="4" max="4" width="14" customWidth="1"/>
    <col min="5" max="6" width="15.6640625" customWidth="1"/>
    <col min="7" max="7" width="14.44140625" customWidth="1"/>
    <col min="8" max="8" width="16.33203125" customWidth="1"/>
    <col min="9" max="9" width="27.44140625" customWidth="1"/>
    <col min="12" max="12" width="38.6640625" customWidth="1"/>
    <col min="13" max="13" width="11.6640625" customWidth="1"/>
  </cols>
  <sheetData>
    <row r="1" spans="1:24" ht="24.6" customHeight="1" thickBot="1" x14ac:dyDescent="0.55000000000000004">
      <c r="A1" s="43" t="s">
        <v>15</v>
      </c>
      <c r="B1" s="44"/>
      <c r="C1" s="45"/>
      <c r="D1" s="40" t="s">
        <v>0</v>
      </c>
      <c r="E1" s="41"/>
      <c r="F1" s="41"/>
      <c r="G1" s="41"/>
      <c r="H1" s="41"/>
      <c r="I1" s="42"/>
      <c r="M1" s="35" t="s">
        <v>39</v>
      </c>
      <c r="N1" s="35"/>
      <c r="O1" s="35"/>
      <c r="P1" s="35"/>
      <c r="Q1" s="35"/>
      <c r="S1" s="35" t="s">
        <v>40</v>
      </c>
      <c r="T1" s="35"/>
      <c r="U1" s="35"/>
      <c r="V1" s="35"/>
      <c r="W1" s="35"/>
    </row>
    <row r="2" spans="1:24" x14ac:dyDescent="0.3">
      <c r="A2" s="36" t="s">
        <v>44</v>
      </c>
      <c r="B2" s="36"/>
      <c r="C2" s="37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3" t="s">
        <v>41</v>
      </c>
    </row>
    <row r="3" spans="1:24" ht="50.1" customHeight="1" thickBot="1" x14ac:dyDescent="0.35">
      <c r="A3" s="38"/>
      <c r="B3" s="38"/>
      <c r="C3" s="39"/>
      <c r="D3" s="2" t="s">
        <v>26</v>
      </c>
      <c r="E3" s="2" t="s">
        <v>27</v>
      </c>
      <c r="F3" s="2" t="s">
        <v>28</v>
      </c>
      <c r="G3" s="2" t="s">
        <v>24</v>
      </c>
      <c r="H3" s="2" t="s">
        <v>25</v>
      </c>
      <c r="I3" s="3"/>
      <c r="M3" s="2" t="s">
        <v>26</v>
      </c>
      <c r="N3" s="2" t="s">
        <v>27</v>
      </c>
      <c r="O3" s="2" t="s">
        <v>28</v>
      </c>
      <c r="P3" s="2" t="s">
        <v>24</v>
      </c>
      <c r="Q3" s="2" t="s">
        <v>25</v>
      </c>
      <c r="R3" s="32" t="s">
        <v>42</v>
      </c>
      <c r="S3" s="2" t="s">
        <v>26</v>
      </c>
      <c r="T3" s="2" t="s">
        <v>27</v>
      </c>
      <c r="U3" s="2" t="s">
        <v>28</v>
      </c>
      <c r="V3" s="2" t="s">
        <v>24</v>
      </c>
      <c r="W3" s="2" t="s">
        <v>25</v>
      </c>
      <c r="X3" s="32" t="s">
        <v>43</v>
      </c>
    </row>
    <row r="4" spans="1:24" ht="20.100000000000001" customHeight="1" x14ac:dyDescent="0.3">
      <c r="A4" s="62" t="s">
        <v>16</v>
      </c>
      <c r="B4" s="56" t="s">
        <v>13</v>
      </c>
      <c r="C4" s="27" t="s">
        <v>11</v>
      </c>
      <c r="D4" s="25">
        <v>15</v>
      </c>
      <c r="E4" s="4">
        <v>25</v>
      </c>
      <c r="F4" s="4">
        <v>3</v>
      </c>
      <c r="G4" s="4">
        <v>8</v>
      </c>
      <c r="H4" s="4">
        <v>3</v>
      </c>
      <c r="I4" s="5">
        <f t="shared" ref="I4:I9" si="0">SUM(D4:H4)</f>
        <v>54</v>
      </c>
      <c r="L4" t="s">
        <v>35</v>
      </c>
      <c r="M4">
        <v>3</v>
      </c>
      <c r="N4">
        <v>3</v>
      </c>
      <c r="O4">
        <v>1</v>
      </c>
      <c r="P4">
        <v>1</v>
      </c>
      <c r="Q4">
        <v>3</v>
      </c>
      <c r="R4">
        <f>SUM(M4:Q4)</f>
        <v>11</v>
      </c>
      <c r="S4">
        <f>3*5000</f>
        <v>15000</v>
      </c>
      <c r="T4">
        <f>3*5000</f>
        <v>15000</v>
      </c>
      <c r="U4">
        <f>1*5000</f>
        <v>5000</v>
      </c>
      <c r="V4">
        <f>1*5000</f>
        <v>5000</v>
      </c>
      <c r="W4">
        <f>3*5000</f>
        <v>15000</v>
      </c>
      <c r="X4">
        <f>SUM(S4:W4)</f>
        <v>55000</v>
      </c>
    </row>
    <row r="5" spans="1:24" ht="20.100000000000001" customHeight="1" thickBot="1" x14ac:dyDescent="0.35">
      <c r="A5" s="63"/>
      <c r="B5" s="57"/>
      <c r="C5" s="28" t="s">
        <v>8</v>
      </c>
      <c r="D5" s="29">
        <v>65000</v>
      </c>
      <c r="E5" s="16">
        <v>105000</v>
      </c>
      <c r="F5" s="16">
        <v>15000</v>
      </c>
      <c r="G5" s="16">
        <v>35000</v>
      </c>
      <c r="H5" s="16">
        <v>15000</v>
      </c>
      <c r="I5" s="6">
        <f t="shared" si="0"/>
        <v>235000</v>
      </c>
      <c r="L5" t="s">
        <v>33</v>
      </c>
      <c r="M5">
        <v>1</v>
      </c>
      <c r="N5">
        <v>1</v>
      </c>
      <c r="O5">
        <v>1</v>
      </c>
      <c r="P5">
        <v>1</v>
      </c>
      <c r="Q5">
        <v>0</v>
      </c>
      <c r="R5">
        <f t="shared" ref="R5:R13" si="1">SUM(M5:Q5)</f>
        <v>4</v>
      </c>
      <c r="S5">
        <v>5000</v>
      </c>
      <c r="T5">
        <v>5000</v>
      </c>
      <c r="U5">
        <v>5000</v>
      </c>
      <c r="V5">
        <v>5000</v>
      </c>
      <c r="W5">
        <v>0</v>
      </c>
      <c r="X5">
        <f t="shared" ref="X5:X10" si="2">SUM(S5:W5)</f>
        <v>20000</v>
      </c>
    </row>
    <row r="6" spans="1:24" ht="20.100000000000001" customHeight="1" x14ac:dyDescent="0.3">
      <c r="A6" s="63"/>
      <c r="B6" s="59" t="s">
        <v>14</v>
      </c>
      <c r="C6" s="27" t="s">
        <v>11</v>
      </c>
      <c r="D6" s="26"/>
      <c r="E6" s="7"/>
      <c r="F6" s="7"/>
      <c r="G6" s="7"/>
      <c r="H6" s="7"/>
      <c r="I6" s="5">
        <f t="shared" si="0"/>
        <v>0</v>
      </c>
      <c r="L6" t="s">
        <v>34</v>
      </c>
      <c r="M6">
        <v>1</v>
      </c>
      <c r="N6">
        <v>1</v>
      </c>
      <c r="O6">
        <v>1</v>
      </c>
      <c r="P6">
        <v>1</v>
      </c>
      <c r="Q6">
        <v>0</v>
      </c>
      <c r="R6">
        <f t="shared" si="1"/>
        <v>4</v>
      </c>
      <c r="S6">
        <v>5000</v>
      </c>
      <c r="T6">
        <v>5000</v>
      </c>
      <c r="U6">
        <v>5000</v>
      </c>
      <c r="V6">
        <v>5000</v>
      </c>
      <c r="W6">
        <v>0</v>
      </c>
      <c r="X6">
        <f t="shared" si="2"/>
        <v>20000</v>
      </c>
    </row>
    <row r="7" spans="1:24" ht="20.100000000000001" customHeight="1" thickBot="1" x14ac:dyDescent="0.35">
      <c r="A7" s="63"/>
      <c r="B7" s="57"/>
      <c r="C7" s="28" t="s">
        <v>8</v>
      </c>
      <c r="D7" s="29"/>
      <c r="E7" s="16"/>
      <c r="F7" s="16"/>
      <c r="G7" s="16"/>
      <c r="H7" s="16"/>
      <c r="I7" s="8">
        <f t="shared" si="0"/>
        <v>0</v>
      </c>
      <c r="L7" t="s">
        <v>32</v>
      </c>
      <c r="M7">
        <v>2</v>
      </c>
      <c r="N7">
        <v>4</v>
      </c>
      <c r="O7">
        <v>0</v>
      </c>
      <c r="P7">
        <v>1</v>
      </c>
      <c r="Q7">
        <v>0</v>
      </c>
      <c r="R7">
        <f t="shared" si="1"/>
        <v>7</v>
      </c>
      <c r="S7">
        <f>2*4000</f>
        <v>8000</v>
      </c>
      <c r="T7">
        <f>4*4000</f>
        <v>16000</v>
      </c>
      <c r="U7">
        <v>0</v>
      </c>
      <c r="V7">
        <v>4000</v>
      </c>
      <c r="W7">
        <v>0</v>
      </c>
      <c r="X7">
        <f t="shared" si="2"/>
        <v>28000</v>
      </c>
    </row>
    <row r="8" spans="1:24" ht="20.100000000000001" customHeight="1" x14ac:dyDescent="0.3">
      <c r="A8" s="63"/>
      <c r="B8" s="59" t="s">
        <v>9</v>
      </c>
      <c r="C8" s="27" t="s">
        <v>7</v>
      </c>
      <c r="D8" s="25"/>
      <c r="E8" s="4"/>
      <c r="F8" s="4"/>
      <c r="G8" s="4"/>
      <c r="H8" s="4"/>
      <c r="I8" s="9">
        <f t="shared" si="0"/>
        <v>0</v>
      </c>
      <c r="L8" t="s">
        <v>37</v>
      </c>
      <c r="M8">
        <v>2</v>
      </c>
      <c r="N8">
        <v>4</v>
      </c>
      <c r="O8">
        <v>0</v>
      </c>
      <c r="P8">
        <v>1</v>
      </c>
      <c r="Q8">
        <v>0</v>
      </c>
      <c r="R8">
        <f t="shared" si="1"/>
        <v>7</v>
      </c>
      <c r="S8">
        <f>2*4000</f>
        <v>8000</v>
      </c>
      <c r="T8">
        <f>4*4000</f>
        <v>16000</v>
      </c>
      <c r="U8">
        <v>0</v>
      </c>
      <c r="V8">
        <v>4000</v>
      </c>
      <c r="W8">
        <v>0</v>
      </c>
      <c r="X8">
        <f t="shared" si="2"/>
        <v>28000</v>
      </c>
    </row>
    <row r="9" spans="1:24" ht="20.100000000000001" customHeight="1" thickBot="1" x14ac:dyDescent="0.35">
      <c r="A9" s="64"/>
      <c r="B9" s="57"/>
      <c r="C9" s="28" t="s">
        <v>8</v>
      </c>
      <c r="D9" s="29"/>
      <c r="E9" s="16"/>
      <c r="F9" s="16"/>
      <c r="G9" s="16"/>
      <c r="H9" s="16"/>
      <c r="I9" s="8">
        <f t="shared" si="0"/>
        <v>0</v>
      </c>
      <c r="L9" t="s">
        <v>36</v>
      </c>
      <c r="M9">
        <v>2</v>
      </c>
      <c r="N9">
        <v>4</v>
      </c>
      <c r="O9">
        <v>0</v>
      </c>
      <c r="P9">
        <v>1</v>
      </c>
      <c r="Q9">
        <v>0</v>
      </c>
      <c r="R9">
        <f t="shared" si="1"/>
        <v>7</v>
      </c>
      <c r="S9">
        <f>2*4000</f>
        <v>8000</v>
      </c>
      <c r="T9">
        <f>4*4000</f>
        <v>16000</v>
      </c>
      <c r="U9">
        <v>0</v>
      </c>
      <c r="V9">
        <v>4000</v>
      </c>
      <c r="W9">
        <v>0</v>
      </c>
      <c r="X9">
        <f t="shared" si="2"/>
        <v>28000</v>
      </c>
    </row>
    <row r="10" spans="1:24" ht="20.100000000000001" customHeight="1" x14ac:dyDescent="0.3">
      <c r="A10" s="65" t="s">
        <v>17</v>
      </c>
      <c r="B10" s="66"/>
      <c r="C10" s="24" t="s">
        <v>12</v>
      </c>
      <c r="D10" s="11"/>
      <c r="E10" s="11"/>
      <c r="F10" s="11"/>
      <c r="G10" s="11"/>
      <c r="H10" s="11"/>
      <c r="I10" s="71">
        <f>SUM(D10:H12)</f>
        <v>0</v>
      </c>
      <c r="L10" t="s">
        <v>38</v>
      </c>
      <c r="M10">
        <v>4</v>
      </c>
      <c r="N10">
        <v>8</v>
      </c>
      <c r="O10">
        <v>0</v>
      </c>
      <c r="P10">
        <v>2</v>
      </c>
      <c r="Q10">
        <v>0</v>
      </c>
      <c r="R10">
        <f t="shared" si="1"/>
        <v>14</v>
      </c>
      <c r="S10">
        <f>4*4000</f>
        <v>16000</v>
      </c>
      <c r="T10">
        <f>8*4000</f>
        <v>32000</v>
      </c>
      <c r="U10">
        <v>0</v>
      </c>
      <c r="V10">
        <f>2*4000</f>
        <v>8000</v>
      </c>
      <c r="W10">
        <v>0</v>
      </c>
      <c r="X10">
        <f t="shared" si="2"/>
        <v>56000</v>
      </c>
    </row>
    <row r="11" spans="1:24" ht="20.100000000000001" customHeight="1" x14ac:dyDescent="0.3">
      <c r="A11" s="67"/>
      <c r="B11" s="68"/>
      <c r="C11" s="24" t="s">
        <v>12</v>
      </c>
      <c r="D11" s="11"/>
      <c r="E11" s="11"/>
      <c r="F11" s="11"/>
      <c r="G11" s="11"/>
      <c r="H11" s="11"/>
      <c r="I11" s="71"/>
    </row>
    <row r="12" spans="1:24" ht="20.100000000000001" customHeight="1" thickBot="1" x14ac:dyDescent="0.35">
      <c r="A12" s="69"/>
      <c r="B12" s="70"/>
      <c r="C12" s="24" t="s">
        <v>12</v>
      </c>
      <c r="D12" s="11"/>
      <c r="E12" s="11"/>
      <c r="F12" s="11"/>
      <c r="G12" s="11"/>
      <c r="H12" s="11"/>
      <c r="I12" s="58"/>
    </row>
    <row r="13" spans="1:24" ht="27" customHeight="1" x14ac:dyDescent="0.3">
      <c r="A13" s="74" t="s">
        <v>18</v>
      </c>
      <c r="B13" s="54" t="s">
        <v>19</v>
      </c>
      <c r="C13" s="14" t="s">
        <v>29</v>
      </c>
      <c r="D13" s="15"/>
      <c r="E13" s="15"/>
      <c r="F13" s="15"/>
      <c r="G13" s="15">
        <v>20000</v>
      </c>
      <c r="H13" s="15">
        <v>10000</v>
      </c>
      <c r="I13" s="52">
        <f>SUM(D13:H14)</f>
        <v>70000</v>
      </c>
      <c r="L13" t="s">
        <v>6</v>
      </c>
      <c r="M13" s="34">
        <f>SUM(M4:M12)</f>
        <v>15</v>
      </c>
      <c r="N13" s="34">
        <f t="shared" ref="N13:Q13" si="3">SUM(N4:N12)</f>
        <v>25</v>
      </c>
      <c r="O13" s="34">
        <f t="shared" si="3"/>
        <v>3</v>
      </c>
      <c r="P13" s="34">
        <f t="shared" si="3"/>
        <v>8</v>
      </c>
      <c r="Q13" s="34">
        <f t="shared" si="3"/>
        <v>3</v>
      </c>
      <c r="R13" s="33">
        <f t="shared" si="1"/>
        <v>54</v>
      </c>
      <c r="S13" s="34">
        <f>SUM(S4:S12)</f>
        <v>65000</v>
      </c>
      <c r="T13" s="34">
        <f t="shared" ref="T13:X13" si="4">SUM(T4:T12)</f>
        <v>105000</v>
      </c>
      <c r="U13" s="34">
        <f t="shared" si="4"/>
        <v>15000</v>
      </c>
      <c r="V13" s="34">
        <f t="shared" si="4"/>
        <v>35000</v>
      </c>
      <c r="W13" s="34">
        <f t="shared" si="4"/>
        <v>15000</v>
      </c>
      <c r="X13" s="33">
        <f t="shared" si="4"/>
        <v>235000</v>
      </c>
    </row>
    <row r="14" spans="1:24" ht="29.4" customHeight="1" thickBot="1" x14ac:dyDescent="0.35">
      <c r="A14" s="75"/>
      <c r="B14" s="55"/>
      <c r="C14" s="12" t="s">
        <v>45</v>
      </c>
      <c r="D14" s="16">
        <v>10000</v>
      </c>
      <c r="E14" s="16">
        <v>30000</v>
      </c>
      <c r="F14" s="16"/>
      <c r="G14" s="16"/>
      <c r="H14" s="16"/>
      <c r="I14" s="53"/>
    </row>
    <row r="15" spans="1:24" ht="20.100000000000001" customHeight="1" x14ac:dyDescent="0.3">
      <c r="A15" s="75"/>
      <c r="B15" s="54" t="s">
        <v>21</v>
      </c>
      <c r="C15" s="14" t="s">
        <v>12</v>
      </c>
      <c r="D15" s="15"/>
      <c r="E15" s="15"/>
      <c r="F15" s="15"/>
      <c r="G15" s="15"/>
      <c r="H15" s="15"/>
      <c r="I15" s="46">
        <f>SUM(D15:H16)</f>
        <v>0</v>
      </c>
    </row>
    <row r="16" spans="1:24" ht="20.100000000000001" customHeight="1" thickBot="1" x14ac:dyDescent="0.35">
      <c r="A16" s="75"/>
      <c r="B16" s="55"/>
      <c r="C16" s="21" t="s">
        <v>12</v>
      </c>
      <c r="D16" s="22"/>
      <c r="E16" s="22"/>
      <c r="F16" s="22"/>
      <c r="G16" s="22"/>
      <c r="H16" s="22"/>
      <c r="I16" s="58"/>
    </row>
    <row r="17" spans="1:9" ht="26.25" customHeight="1" x14ac:dyDescent="0.3">
      <c r="A17" s="75"/>
      <c r="B17" s="77" t="s">
        <v>20</v>
      </c>
      <c r="C17" s="10" t="s">
        <v>31</v>
      </c>
      <c r="D17" s="17">
        <v>10000</v>
      </c>
      <c r="E17" s="17">
        <v>14000</v>
      </c>
      <c r="F17" s="17">
        <v>5000</v>
      </c>
      <c r="G17" s="17"/>
      <c r="H17" s="17"/>
      <c r="I17" s="46">
        <f>SUM(D17:H19)</f>
        <v>95000</v>
      </c>
    </row>
    <row r="18" spans="1:9" ht="20.100000000000001" customHeight="1" x14ac:dyDescent="0.3">
      <c r="A18" s="75"/>
      <c r="B18" s="78"/>
      <c r="C18" s="10" t="s">
        <v>30</v>
      </c>
      <c r="D18" s="17">
        <v>20000</v>
      </c>
      <c r="E18" s="17">
        <v>46000</v>
      </c>
      <c r="F18" s="17"/>
      <c r="G18" s="17"/>
      <c r="H18" s="17"/>
      <c r="I18" s="47"/>
    </row>
    <row r="19" spans="1:9" ht="20.100000000000001" customHeight="1" thickBot="1" x14ac:dyDescent="0.35">
      <c r="A19" s="76"/>
      <c r="B19" s="79"/>
      <c r="C19" s="13" t="s">
        <v>12</v>
      </c>
      <c r="D19" s="17"/>
      <c r="E19" s="17"/>
      <c r="F19" s="17"/>
      <c r="G19" s="17"/>
      <c r="H19" s="17"/>
      <c r="I19" s="48"/>
    </row>
    <row r="20" spans="1:9" ht="35.1" customHeight="1" thickBot="1" x14ac:dyDescent="0.35">
      <c r="A20" s="72" t="s">
        <v>22</v>
      </c>
      <c r="B20" s="73"/>
      <c r="C20" s="23" t="s">
        <v>12</v>
      </c>
      <c r="D20" s="15"/>
      <c r="E20" s="15"/>
      <c r="F20" s="15"/>
      <c r="G20" s="15"/>
      <c r="H20" s="15"/>
      <c r="I20" s="20">
        <f>SUM(D20:H20)</f>
        <v>0</v>
      </c>
    </row>
    <row r="21" spans="1:9" ht="28.5" customHeight="1" x14ac:dyDescent="0.3">
      <c r="A21" s="60" t="s">
        <v>23</v>
      </c>
      <c r="B21" s="59"/>
      <c r="C21" s="61"/>
      <c r="D21" s="30">
        <f>SUM(25%*(D5+D7+D9+D13+D14+D15+D16+D17+D18+D19))</f>
        <v>26250</v>
      </c>
      <c r="E21" s="30">
        <f t="shared" ref="E21:H21" si="5">SUM(25%*(E5+E7+E9+E13+E14+E15+E16+E17+E18+E19))</f>
        <v>48750</v>
      </c>
      <c r="F21" s="30">
        <f t="shared" si="5"/>
        <v>5000</v>
      </c>
      <c r="G21" s="30">
        <f t="shared" si="5"/>
        <v>13750</v>
      </c>
      <c r="H21" s="30">
        <f t="shared" si="5"/>
        <v>6250</v>
      </c>
      <c r="I21" s="18">
        <f>SUM(D21:H21)</f>
        <v>100000</v>
      </c>
    </row>
    <row r="22" spans="1:9" ht="28.5" customHeight="1" x14ac:dyDescent="0.3">
      <c r="A22" s="49" t="s">
        <v>10</v>
      </c>
      <c r="B22" s="50"/>
      <c r="C22" s="51"/>
      <c r="D22" s="31">
        <f>SUM(D5,D7,D9,D10:D21)</f>
        <v>131250</v>
      </c>
      <c r="E22" s="31">
        <f t="shared" ref="E22:H22" si="6">SUM(E5,E7,E9,E10:E21)</f>
        <v>243750</v>
      </c>
      <c r="F22" s="31">
        <f t="shared" si="6"/>
        <v>25000</v>
      </c>
      <c r="G22" s="31">
        <f t="shared" si="6"/>
        <v>68750</v>
      </c>
      <c r="H22" s="31">
        <f t="shared" si="6"/>
        <v>31250</v>
      </c>
      <c r="I22" s="19">
        <f>SUM(D22:H22)</f>
        <v>500000</v>
      </c>
    </row>
  </sheetData>
  <mergeCells count="21">
    <mergeCell ref="A22:C22"/>
    <mergeCell ref="I13:I14"/>
    <mergeCell ref="B15:B16"/>
    <mergeCell ref="B4:B5"/>
    <mergeCell ref="I15:I16"/>
    <mergeCell ref="B8:B9"/>
    <mergeCell ref="A21:C21"/>
    <mergeCell ref="A4:A9"/>
    <mergeCell ref="B6:B7"/>
    <mergeCell ref="A10:B12"/>
    <mergeCell ref="I10:I12"/>
    <mergeCell ref="A20:B20"/>
    <mergeCell ref="A13:A19"/>
    <mergeCell ref="B13:B14"/>
    <mergeCell ref="B17:B19"/>
    <mergeCell ref="S1:W1"/>
    <mergeCell ref="A2:C3"/>
    <mergeCell ref="D1:I1"/>
    <mergeCell ref="A1:C1"/>
    <mergeCell ref="I17:I19"/>
    <mergeCell ref="M1:Q1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Ieronymos Zoidakis</cp:lastModifiedBy>
  <dcterms:created xsi:type="dcterms:W3CDTF">2015-04-05T16:58:05Z</dcterms:created>
  <dcterms:modified xsi:type="dcterms:W3CDTF">2025-11-01T09:29:17Z</dcterms:modified>
</cp:coreProperties>
</file>